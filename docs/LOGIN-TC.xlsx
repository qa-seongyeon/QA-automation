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yy06\OneDrive\바탕 화면\"/>
    </mc:Choice>
  </mc:AlternateContent>
  <xr:revisionPtr revIDLastSave="0" documentId="13_ncr:1_{D69AAF5B-035F-4B72-A078-04E30229EF22}" xr6:coauthVersionLast="47" xr6:coauthVersionMax="47" xr10:uidLastSave="{00000000-0000-0000-0000-000000000000}"/>
  <workbookProtection workbookAlgorithmName="SHA-512" workbookHashValue="iEh/ccl/+W4/6P7dCJHGod49qWL0qaqt748ZIU51GZI+R0HEXMYIQm1N/Z9ec6345xF050yS1e/uB6yEpIka7A==" workbookSaltValue="zAYjo+9UnCXeEusBMzZPYg==" workbookSpinCount="100000" lockStructure="1"/>
  <bookViews>
    <workbookView xWindow="-108" yWindow="-108" windowWidth="23256" windowHeight="12456" activeTab="5" xr2:uid="{00000000-000D-0000-FFFF-FFFF00000000}"/>
  </bookViews>
  <sheets>
    <sheet name="Overview" sheetId="1" r:id="rId1"/>
    <sheet name="History" sheetId="2" r:id="rId2"/>
    <sheet name="릴리즈" sheetId="3" state="hidden" r:id="rId3"/>
    <sheet name="Regression_TC" sheetId="5" r:id="rId4"/>
    <sheet name="E2E_TEST" sheetId="8" r:id="rId5"/>
    <sheet name="E2E_API_TEST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9" l="1"/>
  <c r="I8" i="9"/>
  <c r="C11" i="8"/>
  <c r="I8" i="8"/>
  <c r="I8" i="5"/>
  <c r="C11" i="5" l="1"/>
</calcChain>
</file>

<file path=xl/sharedStrings.xml><?xml version="1.0" encoding="utf-8"?>
<sst xmlns="http://schemas.openxmlformats.org/spreadsheetml/2006/main" count="794" uniqueCount="486">
  <si>
    <t>🔻 각 테스트 시트에 대한 설명</t>
  </si>
  <si>
    <t>릴리즈 TC</t>
  </si>
  <si>
    <t>・기능 단위 형식으로 설계</t>
  </si>
  <si>
    <t>E2E TS</t>
  </si>
  <si>
    <t>・사용자 흐름 시나리오 형식으로 설계</t>
  </si>
  <si>
    <t>API TS</t>
  </si>
  <si>
    <t>・테스트 시나리오 형식으로 설계</t>
  </si>
  <si>
    <t>🔻 릴리즈/E2E/API Test에서 해당 리스크 분석을 모두 참조합니다.</t>
  </si>
  <si>
    <t>리스크 분석</t>
  </si>
  <si>
    <t>no.</t>
  </si>
  <si>
    <t>품질 특성에 따른 리스크 유형</t>
  </si>
  <si>
    <t>리스크 정의</t>
  </si>
  <si>
    <t>세부 리스크 항목</t>
  </si>
  <si>
    <t>우선순위</t>
  </si>
  <si>
    <t>심각도와, 우선순위를 통합적으로 고려하여 결정한 최종 우선순위</t>
  </si>
  <si>
    <t>R1</t>
  </si>
  <si>
    <t>기능 적합성 리스크</t>
  </si>
  <si>
    <t>요구사항을 충족하는 기능 제공</t>
  </si>
  <si>
    <t xml:space="preserve">결제/ 재화 관련 플로우 </t>
  </si>
  <si>
    <t>p0</t>
  </si>
  <si>
    <t>P0 (매우 높음)</t>
  </si>
  <si>
    <t>비즈니스 크리티컬 패스 (= 핵심 유저 플로우)</t>
  </si>
  <si>
    <t>P1 (높음)</t>
  </si>
  <si>
    <t>버그로 인해 다수의 하위 시스템 이용 불가</t>
  </si>
  <si>
    <t>P1</t>
  </si>
  <si>
    <t>P2 (보통)</t>
  </si>
  <si>
    <t>서비스 이용에 차질이 없는 경미한 기능 오류</t>
  </si>
  <si>
    <t>P2</t>
  </si>
  <si>
    <t>P3 (낮음)</t>
  </si>
  <si>
    <t>UI 오류 : 비니지스 임팩트/노출 빈도/ 법적 리스크 높은 UI 오류</t>
  </si>
  <si>
    <t>UI 오류 : 위 사례에 포함되지 않는 디자인 구현 불일치</t>
  </si>
  <si>
    <t>P3</t>
  </si>
  <si>
    <t>R2</t>
  </si>
  <si>
    <t>보안 리스크</t>
  </si>
  <si>
    <t>부적절한 접근으로부터 정보·데이터 보호</t>
  </si>
  <si>
    <t>해킹 방어 목적 입력값 검증 : SQL, HTML 인젝션</t>
  </si>
  <si>
    <t>인가: URL 우회(강제브라우징)
       IDOR, API 직접 호출 차단</t>
  </si>
  <si>
    <t>인증: 로그인 시도 제한, 잠금 정책
       계정 관련 에러메세지 정책</t>
  </si>
  <si>
    <t>세션: 재로그인 요구 시점, 세션 만료/재검증 로직</t>
  </si>
  <si>
    <t>암호/ 민감 정보 노출 오류(API 응답 마킹, 시스템 내부 경로 노출)</t>
  </si>
  <si>
    <t>R3</t>
  </si>
  <si>
    <t xml:space="preserve">신뢰성 리스크 </t>
  </si>
  <si>
    <t>특정 조건·기간 내 명시된 기능 수행</t>
  </si>
  <si>
    <t>동시성 : 여러 사용자의 요청을 안전히 처리</t>
  </si>
  <si>
    <t>중복 요청: 동일 사용자의 중복 요청을 처리</t>
  </si>
  <si>
    <t>트랜젝션 테스트: 트렌젝션 실패 시 롤백 로직</t>
  </si>
  <si>
    <t>데이터 정합성: 모든 영역에서 동일 데이터 노출</t>
  </si>
  <si>
    <t>일시 단절 사유 발생 시 오류 처리 및 복원</t>
  </si>
  <si>
    <t>R4</t>
  </si>
  <si>
    <t>성능.효율성 리스크</t>
  </si>
  <si>
    <t>자원 사용량 대비 적절한 성능 확보</t>
  </si>
  <si>
    <t>동시 접속자 급증 시 응답시간 유지</t>
  </si>
  <si>
    <t>대용량 데이터 조회 시 성능 저하</t>
  </si>
  <si>
    <t>장시간 운영 시 메모리 누수 및 성능 저하 가능성</t>
  </si>
  <si>
    <t>Document History</t>
  </si>
  <si>
    <t>Version</t>
  </si>
  <si>
    <t>Date</t>
  </si>
  <si>
    <t>Reviser</t>
  </si>
  <si>
    <t>Description</t>
  </si>
  <si>
    <t>김성연</t>
  </si>
  <si>
    <t>Overview 리스크 작성</t>
  </si>
  <si>
    <t>테스트 케이스</t>
  </si>
  <si>
    <t>Risk ID</t>
  </si>
  <si>
    <t>TC ID</t>
  </si>
  <si>
    <t>Scenario</t>
  </si>
  <si>
    <t>테스트 항목</t>
  </si>
  <si>
    <t>입력값</t>
  </si>
  <si>
    <t>기대 결과</t>
  </si>
  <si>
    <t>실제 결과</t>
  </si>
  <si>
    <t>우선 순위</t>
  </si>
  <si>
    <t>상태</t>
  </si>
  <si>
    <t>LOGIN-TC-01</t>
  </si>
  <si>
    <t>정상 로그인 테스트</t>
  </si>
  <si>
    <t>정상 계정 로그인</t>
  </si>
  <si>
    <t>standard_user / secret_sauce</t>
  </si>
  <si>
    <t>inventory 페이지 이동</t>
  </si>
  <si>
    <t>High</t>
  </si>
  <si>
    <t>Pass</t>
  </si>
  <si>
    <t>LOGIN-TC-02</t>
  </si>
  <si>
    <t>로그인 후 상품 목록 확인</t>
  </si>
  <si>
    <t>상품 리스트 정상 표시</t>
  </si>
  <si>
    <t>LOGIN-TC-03</t>
  </si>
  <si>
    <t>로그인 성공 후 URL 확인</t>
  </si>
  <si>
    <t>/inventory.html 페이지 이동</t>
  </si>
  <si>
    <t>LOGIN-TC-04</t>
  </si>
  <si>
    <t>로그인 후 새로고침</t>
  </si>
  <si>
    <t>로그인 상태 유지</t>
  </si>
  <si>
    <t>Low</t>
  </si>
  <si>
    <t>LOGIN-TC-05</t>
  </si>
  <si>
    <t>로그인 후 뒤로가기</t>
  </si>
  <si>
    <t>로그인 페이지 이동</t>
  </si>
  <si>
    <t>LOGIN-TC-06</t>
  </si>
  <si>
    <t>로그인 실패 테스트</t>
  </si>
  <si>
    <t>잘못된 비밀번호 로그인</t>
  </si>
  <si>
    <t>standard_user / wrong_password</t>
  </si>
  <si>
    <t>로그인 실패 메시지 표시</t>
  </si>
  <si>
    <t>로그인 실패 및 메시지 표기</t>
  </si>
  <si>
    <t>LOGIN-TC-07</t>
  </si>
  <si>
    <t>존재하지 않는 계정 로그인</t>
  </si>
  <si>
    <t>invalid_user / secret_sauce</t>
  </si>
  <si>
    <t>LOGIN-TC-08</t>
  </si>
  <si>
    <t>잘못된 계정 + 잘못된 비밀번호</t>
  </si>
  <si>
    <t>invalid_user / wrong_password</t>
  </si>
  <si>
    <t>LOGIN-TC-09</t>
  </si>
  <si>
    <t>username 미입력</t>
  </si>
  <si>
    <t>(blank) / secret_sauce</t>
  </si>
  <si>
    <t>LOGIN-TC-10</t>
  </si>
  <si>
    <t>password 미입력</t>
  </si>
  <si>
    <t>standard_user / (blank)</t>
  </si>
  <si>
    <t>LOGIN-TC-11</t>
  </si>
  <si>
    <t>username/password 미입력</t>
  </si>
  <si>
    <t>(blank) / (blank)</t>
  </si>
  <si>
    <t>LOGIN-TC-12</t>
  </si>
  <si>
    <t>공백 문자 입력 로그인</t>
  </si>
  <si>
    <t>" " / " "</t>
  </si>
  <si>
    <t>LOGIN-TC-13</t>
  </si>
  <si>
    <t>로그인 실패 메시지 확인</t>
  </si>
  <si>
    <t>오류 메시지 정상 표시</t>
  </si>
  <si>
    <t>R6</t>
  </si>
  <si>
    <t>LOGIN-TC-14</t>
  </si>
  <si>
    <t>입력값 검증 테스트</t>
  </si>
  <si>
    <t>username 최소 길이 입력</t>
  </si>
  <si>
    <t>a / secret_sauce</t>
  </si>
  <si>
    <t>로그인 실패</t>
  </si>
  <si>
    <t>LOGIN-TC-15</t>
  </si>
  <si>
    <t>username 최대 길이 입력</t>
  </si>
  <si>
    <t>aaaaaaaaaaaaaaaaaaa / secret_sauce</t>
  </si>
  <si>
    <t>LOGIN-TC-16</t>
  </si>
  <si>
    <t>password 최소 길이 입력</t>
  </si>
  <si>
    <t>standard_user / 123</t>
  </si>
  <si>
    <t>LOGIN-TC-17</t>
  </si>
  <si>
    <t>password 최대 길이 입력</t>
  </si>
  <si>
    <t>standard_user / aaaaaaaaaaaaaaaaaa</t>
  </si>
  <si>
    <t>LOGIN-TC-18</t>
  </si>
  <si>
    <t>username 특수문자 입력</t>
  </si>
  <si>
    <t>$%^&amp; / secret_sauce</t>
  </si>
  <si>
    <t>LOGIN-TC-19</t>
  </si>
  <si>
    <t>password 특수문자 입력</t>
  </si>
  <si>
    <t>standard_user / $%^&amp;</t>
  </si>
  <si>
    <t>LOGIN-TC-20</t>
  </si>
  <si>
    <t>SQL injection 시도</t>
  </si>
  <si>
    <t xml:space="preserve"> OR '1'='1 / test</t>
  </si>
  <si>
    <t>LOGIN-TC-21</t>
  </si>
  <si>
    <t>XSS 입력 시도</t>
  </si>
  <si>
    <t>&lt;script&gt;alert(1)&lt;/script&gt; / test</t>
  </si>
  <si>
    <t>LOGIN-TC-22</t>
  </si>
  <si>
    <t>username 대소문자 변경</t>
  </si>
  <si>
    <t>STANDARD_USER / secret_sauce</t>
  </si>
  <si>
    <t>LOGIN-TC-23</t>
  </si>
  <si>
    <t>username 앞뒤 공백 입력</t>
  </si>
  <si>
    <t>" standard_user " / secret_sauce</t>
  </si>
  <si>
    <t>R7</t>
  </si>
  <si>
    <t>LOGIN-TC-24</t>
  </si>
  <si>
    <t>계정 상태 테스트</t>
  </si>
  <si>
    <t>정상 테스트 계정 로그인</t>
  </si>
  <si>
    <t>로그인 성공</t>
  </si>
  <si>
    <t>LOGIN-TC-25</t>
  </si>
  <si>
    <t>잠긴 계정 로그인</t>
  </si>
  <si>
    <t>locked_out_user / secret_sauce</t>
  </si>
  <si>
    <t>계정 잠김 및 메시지 표시</t>
  </si>
  <si>
    <t>LOGIN-TC-26</t>
  </si>
  <si>
    <t>problem_user 로그인</t>
  </si>
  <si>
    <t>problem_user / secret_sauce</t>
  </si>
  <si>
    <t>LOGIN-TC-27</t>
  </si>
  <si>
    <t>performance_glitch_user 로그인</t>
  </si>
  <si>
    <t>performance_glitch_user / secret_sauce</t>
  </si>
  <si>
    <t>LOGIN-TC-28</t>
  </si>
  <si>
    <t>잠긴 계정 inventory 접근 시도</t>
  </si>
  <si>
    <t>접근 차단</t>
  </si>
  <si>
    <t>LOGIN-TC-29</t>
  </si>
  <si>
    <t>로그인 실패 후 재로그인</t>
  </si>
  <si>
    <t>LOGIN-TC-30</t>
  </si>
  <si>
    <t>로그아웃 후 재로그인</t>
  </si>
  <si>
    <t>LOGIN-TC-31</t>
  </si>
  <si>
    <t>성능 테스트</t>
  </si>
  <si>
    <t>로그인 응답 시간 확인</t>
  </si>
  <si>
    <t>3초 내에 로그인 성공</t>
  </si>
  <si>
    <t>Meduim</t>
  </si>
  <si>
    <t>LOGIN-TC-32</t>
  </si>
  <si>
    <t>성능 지연 계정 확인</t>
  </si>
  <si>
    <t>로그인 지연 발생</t>
  </si>
  <si>
    <t>LOGIN-TC-33</t>
  </si>
  <si>
    <t>로그인 반복 수행</t>
  </si>
  <si>
    <t>서버 오류 없음</t>
  </si>
  <si>
    <t>LOGIN-TC-34</t>
  </si>
  <si>
    <t>연속 로그인 시도</t>
  </si>
  <si>
    <t>정상 로그인</t>
  </si>
  <si>
    <t>LOGIN-TC-35</t>
  </si>
  <si>
    <t>네트워크 지연 환경 로그인</t>
  </si>
  <si>
    <t>로그인 정상 처리</t>
  </si>
  <si>
    <t>LOGIN-TC-36</t>
  </si>
  <si>
    <t>세션 / UI 테스트</t>
  </si>
  <si>
    <t>로그인 후 페이지 새로고침</t>
  </si>
  <si>
    <t>LOGIN-TC-37</t>
  </si>
  <si>
    <t>로그아웃 후 inventory URL 접근</t>
  </si>
  <si>
    <t>LOGIN-TC-38</t>
  </si>
  <si>
    <t>로그인 실패 메시지 UI 확인</t>
  </si>
  <si>
    <t>오류 메세지 정상 표시</t>
  </si>
  <si>
    <t>LOGIN-TC-39</t>
  </si>
  <si>
    <t>오류 메시지 반복 발생 확인</t>
  </si>
  <si>
    <t>UI 깨짐 없이 표시</t>
  </si>
  <si>
    <t>테스트 시나리오</t>
  </si>
  <si>
    <t>번호</t>
  </si>
  <si>
    <t>관련 리스크</t>
  </si>
  <si>
    <t>TCN-01</t>
  </si>
  <si>
    <t>로그인 인증 검증</t>
  </si>
  <si>
    <t>TCN-02</t>
  </si>
  <si>
    <t>정상 사용자 로그인 성공 확인</t>
  </si>
  <si>
    <t>TCN-03</t>
  </si>
  <si>
    <t>로그인 처리 성능 확인</t>
  </si>
  <si>
    <t>TCN-04</t>
  </si>
  <si>
    <t>로그인 후 세션 유지 확인</t>
  </si>
  <si>
    <t>TCN-05</t>
  </si>
  <si>
    <t>로그아웃 후 접근 제어 확인</t>
  </si>
  <si>
    <t>TCN-06</t>
  </si>
  <si>
    <t>로그인 실패 시 오류 메시지 표시 확인</t>
  </si>
  <si>
    <t>R5</t>
  </si>
  <si>
    <t>TCN-07</t>
  </si>
  <si>
    <t>오류 메시지 내용 정확성 확인</t>
  </si>
  <si>
    <t>TCN-08</t>
  </si>
  <si>
    <t>로그인 입력값 검증 확인</t>
  </si>
  <si>
    <t>TCN-09</t>
  </si>
  <si>
    <t>계정 상태 검증 확인</t>
  </si>
  <si>
    <t>[Core Value]</t>
  </si>
  <si>
    <t>Release ver.</t>
  </si>
  <si>
    <t>Platform</t>
  </si>
  <si>
    <t>Platform ver.</t>
  </si>
  <si>
    <t>자동화 구현율</t>
  </si>
  <si>
    <t>작성</t>
  </si>
  <si>
    <t>No.</t>
  </si>
  <si>
    <t xml:space="preserve"> TC ID</t>
  </si>
  <si>
    <t>Precondition</t>
  </si>
  <si>
    <t>기대결과</t>
  </si>
  <si>
    <t>자동화 여부</t>
  </si>
  <si>
    <t>매핑 함수/마커</t>
  </si>
  <si>
    <t>Comment</t>
  </si>
  <si>
    <t>미로그인 상태</t>
  </si>
  <si>
    <t>위로 삽입</t>
  </si>
  <si>
    <t xml:space="preserve"> TS ID</t>
  </si>
  <si>
    <t>예정</t>
  </si>
  <si>
    <t>구현</t>
  </si>
  <si>
    <t>기대결과</t>
    <phoneticPr fontId="1" type="noConversion"/>
  </si>
  <si>
    <t>Description</t>
    <phoneticPr fontId="1" type="noConversion"/>
  </si>
  <si>
    <t>STEP</t>
    <phoneticPr fontId="1" type="noConversion"/>
  </si>
  <si>
    <t>[E2E Test Scenario] 로그인</t>
    <phoneticPr fontId="1" type="noConversion"/>
  </si>
  <si>
    <t>로그인 성공</t>
    <phoneticPr fontId="1" type="noConversion"/>
  </si>
  <si>
    <t>로그인 불가하며 서버 검증 메시지 노출된다
 - "Your email or password is incorrect!"</t>
    <phoneticPr fontId="1" type="noConversion"/>
  </si>
  <si>
    <t>서버 로직상 "비밀번호 불일치" 확인 케이스</t>
    <phoneticPr fontId="1" type="noConversion"/>
  </si>
  <si>
    <t>서버 로직상 "계정 없음" 확인 케이스</t>
    <phoneticPr fontId="1" type="noConversion"/>
  </si>
  <si>
    <t>1. 서버 읍답 에러 케이스 검증
2. 유효한 아이디/ 잘못된 비밀번호</t>
    <phoneticPr fontId="1" type="noConversion"/>
  </si>
  <si>
    <t>이메일 형식 갖춤</t>
    <phoneticPr fontId="1" type="noConversion"/>
  </si>
  <si>
    <t>validity state : 패스워드 valueMissing 케이스</t>
    <phoneticPr fontId="1" type="noConversion"/>
  </si>
  <si>
    <t>1. 유효한 아이디+잘못된 비밀번호 입력
2. 로그인 실패 서버 에러메세지 확인</t>
    <phoneticPr fontId="1" type="noConversion"/>
  </si>
  <si>
    <t>로그인 실패하며 브라우저 에러메세지 노출된다</t>
    <phoneticPr fontId="1" type="noConversion"/>
  </si>
  <si>
    <t>validity state : 이메일 valueMissing 케이스</t>
    <phoneticPr fontId="1" type="noConversion"/>
  </si>
  <si>
    <t>validity state : 이메일 typeMismatch 케이스</t>
    <phoneticPr fontId="1" type="noConversion"/>
  </si>
  <si>
    <t>1. 브라우저 검증 메시지로 차단 검증
2. 아이디 입력, 비밀번호 공백</t>
    <phoneticPr fontId="1" type="noConversion"/>
  </si>
  <si>
    <t>1. 브라우저 검증 메시지로 차단 검증
2. 아이디,비밀번호 모두 공백인 경우
로그인 실패 케이스</t>
    <phoneticPr fontId="1" type="noConversion"/>
  </si>
  <si>
    <t>이메일 형식 갖추지 않음</t>
    <phoneticPr fontId="1" type="noConversion"/>
  </si>
  <si>
    <t>1. 브라우저 검증 메시지로 차단 검증
2. 이메일 형식 X 아이디, 비밀번호 입력
로그인 실패 케이스</t>
    <phoneticPr fontId="1" type="noConversion"/>
  </si>
  <si>
    <t>1. 아이디 공백, 비밀번호 공백 로그인 시도
2. 로그인 실패 브라우저 에러메세지 확인</t>
    <phoneticPr fontId="1" type="noConversion"/>
  </si>
  <si>
    <t>1. 이메일 형식 X 아이디 로그인 시도
2. 로그인 실패 브라우저 에러메세지 확인</t>
    <phoneticPr fontId="1" type="noConversion"/>
  </si>
  <si>
    <t>보안: 인젝션 테스트로
이메일 형식 갖춤</t>
    <phoneticPr fontId="1" type="noConversion"/>
  </si>
  <si>
    <t>SQL 인젝션 로그인 실패 케이스</t>
    <phoneticPr fontId="1" type="noConversion"/>
  </si>
  <si>
    <t>HTML 인젝션(XSS) 로그인 실패 케이스</t>
    <phoneticPr fontId="1" type="noConversion"/>
  </si>
  <si>
    <t>1. test@gmail.com'OR'1'='1 로그인 시도
2. 로그인 실패 브라우저 에러메세지 확인</t>
    <phoneticPr fontId="1" type="noConversion"/>
  </si>
  <si>
    <t>1. &lt;script&gt;alert(1)&lt;/script&gt;@gmail.com 
로그인 시도
2. 로그인 실패 브라우저 에러메세지 확인</t>
    <phoneticPr fontId="1" type="noConversion"/>
  </si>
  <si>
    <t>로그인 성공하며 메인페이지로 이동한다</t>
    <phoneticPr fontId="1" type="noConversion"/>
  </si>
  <si>
    <t>1. 유효한 아이디+비밀번호 입력
2. 메인 페이지 이동 확인</t>
    <phoneticPr fontId="1" type="noConversion"/>
  </si>
  <si>
    <t>로그인 성공 케이스</t>
    <phoneticPr fontId="1" type="noConversion"/>
  </si>
  <si>
    <t>1. 이메일 형식O 아이디+비밀번호 공백 입력
2. 로그인 실패 브라우저 에러메세지 확인</t>
    <phoneticPr fontId="1" type="noConversion"/>
  </si>
  <si>
    <t>메인페이지 &gt; 로그인 &gt; 메인페이지</t>
    <phoneticPr fontId="1" type="noConversion"/>
  </si>
  <si>
    <t>장바구니 &gt; 로그인 &gt; 메인페이지</t>
    <phoneticPr fontId="1" type="noConversion"/>
  </si>
  <si>
    <t>1. 미로그인 상태
2. 장바구니 아이템 존재</t>
    <phoneticPr fontId="1" type="noConversion"/>
  </si>
  <si>
    <t>메인페이지 경로로
로그인 성공</t>
    <phoneticPr fontId="1" type="noConversion"/>
  </si>
  <si>
    <t>장바구니 경로로
로그인 성공</t>
    <phoneticPr fontId="1" type="noConversion"/>
  </si>
  <si>
    <t>LOGIN-TC-002</t>
  </si>
  <si>
    <t>LOGIN-TC-003</t>
  </si>
  <si>
    <t>LOGIN-TC-004</t>
  </si>
  <si>
    <t>LOGIN-TC-005</t>
  </si>
  <si>
    <t>LOGIN-TC-006</t>
  </si>
  <si>
    <t>LOGIN-TC-007</t>
  </si>
  <si>
    <t>LOGIN-TC-008</t>
  </si>
  <si>
    <t>LOGIN-TC-009</t>
  </si>
  <si>
    <t>LOGIN-TC-010</t>
  </si>
  <si>
    <t>LOGIN-TC-011</t>
  </si>
  <si>
    <t>LOGIN-TC-012</t>
  </si>
  <si>
    <t>LOGIN-TC-013</t>
  </si>
  <si>
    <t>LOGIN-TC-014</t>
  </si>
  <si>
    <t>LOGIN-TC-015</t>
  </si>
  <si>
    <t>LOGIN-TC-016</t>
  </si>
  <si>
    <t>LOGIN-TC-017</t>
  </si>
  <si>
    <t>LOGIN-TC-018</t>
  </si>
  <si>
    <t>LOGIN-TC-019</t>
  </si>
  <si>
    <t>LOGIN-TC-020</t>
  </si>
  <si>
    <t>LOGIN-TC-021</t>
  </si>
  <si>
    <t>LOGIN-TC-022</t>
  </si>
  <si>
    <t>LOGIN-TC-023</t>
  </si>
  <si>
    <t>LOGIN-TC-024</t>
  </si>
  <si>
    <t>LOGIN-TC-025</t>
  </si>
  <si>
    <t>LOGIN-TC-026</t>
  </si>
  <si>
    <t>LOGIN-TC-027</t>
  </si>
  <si>
    <t>LOGIN-TC-028</t>
  </si>
  <si>
    <t>LOGIN-TC-029</t>
  </si>
  <si>
    <t>LOGIN-TC-030</t>
  </si>
  <si>
    <t>LOGIN-TC-031</t>
  </si>
  <si>
    <t>LOGIN-TC-032</t>
  </si>
  <si>
    <t>LOGIN-TC-033</t>
  </si>
  <si>
    <t>LOGIN-TC-034</t>
  </si>
  <si>
    <t>LOGIN-TC-035</t>
  </si>
  <si>
    <t>LOGIN-TC-036</t>
  </si>
  <si>
    <t>LOGIN-TC-037</t>
  </si>
  <si>
    <t>LOGIN-TC-038</t>
  </si>
  <si>
    <t>LOGIN-TC-039</t>
  </si>
  <si>
    <t>LOGIN-TC-040</t>
  </si>
  <si>
    <t>LOGIN-TC-041</t>
  </si>
  <si>
    <t>LOGIN-TC-042</t>
  </si>
  <si>
    <t>LOGIN-TC-043</t>
  </si>
  <si>
    <t>LOGIN-TC-044</t>
  </si>
  <si>
    <t>LOGIN-TC-045</t>
  </si>
  <si>
    <t>LOGIN-TC-046</t>
  </si>
  <si>
    <t>LOGIN-TC-047</t>
  </si>
  <si>
    <t>LOGIN-TC-048</t>
  </si>
  <si>
    <t>LOGIN-TC-049</t>
  </si>
  <si>
    <t>LOGIN-TC-050</t>
  </si>
  <si>
    <t>LOGIN-TS-001</t>
  </si>
  <si>
    <t>LOGIN-TS-002</t>
  </si>
  <si>
    <t>LOGIN-TS-003</t>
  </si>
  <si>
    <t>LOGIN-TS-004</t>
  </si>
  <si>
    <t>LOGIN-TS-005</t>
  </si>
  <si>
    <t>LOGIN-TS-006</t>
  </si>
  <si>
    <t>LOGIN-TS-007</t>
  </si>
  <si>
    <t>LOGIN-TS-008</t>
  </si>
  <si>
    <t>LOGIN-TS-009</t>
  </si>
  <si>
    <t>LOGIN-TS-010</t>
  </si>
  <si>
    <t>LOGIN-TS-011</t>
  </si>
  <si>
    <t>LOGIN-TS-012</t>
  </si>
  <si>
    <t>LOGIN-TS-013</t>
  </si>
  <si>
    <t>LOGIN-TS-014</t>
  </si>
  <si>
    <t>LOGIN-TS-015</t>
  </si>
  <si>
    <t>LOGIN-TS-016</t>
  </si>
  <si>
    <t>LOGIN-TS-017</t>
  </si>
  <si>
    <t>LOGIN-TS-018</t>
  </si>
  <si>
    <t>LOGIN-TS-019</t>
  </si>
  <si>
    <t>LOGIN-TS-020</t>
  </si>
  <si>
    <t>LOGIN-TS-021</t>
  </si>
  <si>
    <t>LOGIN-TS-022</t>
  </si>
  <si>
    <t>LOGIN-TS-023</t>
  </si>
  <si>
    <t>LOGIN-TS-024</t>
  </si>
  <si>
    <t>LOGIN-TS-025</t>
  </si>
  <si>
    <t>LOGIN-TS-026</t>
  </si>
  <si>
    <t>LOGIN-TS-027</t>
  </si>
  <si>
    <t>LOGIN-TS-028</t>
  </si>
  <si>
    <t>LOGIN-TS-029</t>
  </si>
  <si>
    <t>LOGIN-TS-030</t>
  </si>
  <si>
    <t>LOGIN-TS-031</t>
  </si>
  <si>
    <t>LOGIN-TS-032</t>
  </si>
  <si>
    <t>LOGIN-TS-033</t>
  </si>
  <si>
    <t>LOGIN-TS-034</t>
  </si>
  <si>
    <t>LOGIN-TS-035</t>
  </si>
  <si>
    <t>LOGIN-TS-036</t>
  </si>
  <si>
    <t>LOGIN-TS-037</t>
  </si>
  <si>
    <t>LOGIN-TS-038</t>
  </si>
  <si>
    <t>LOGIN-TS-039</t>
  </si>
  <si>
    <t>LOGIN-TS-040</t>
  </si>
  <si>
    <t>LOGIN-TS-041</t>
  </si>
  <si>
    <t>LOGIN-TS-042</t>
  </si>
  <si>
    <t>LOGIN-TS-043</t>
  </si>
  <si>
    <t>LOGIN-TS-044</t>
  </si>
  <si>
    <t>LOGIN-TS-045</t>
  </si>
  <si>
    <t>LOGIN-TS-046</t>
  </si>
  <si>
    <t>LOGIN-TS-047</t>
  </si>
  <si>
    <t>LOGIN-TS-048</t>
  </si>
  <si>
    <t>LOGIN-TS-049</t>
  </si>
  <si>
    <t>LOGIN-TS-050</t>
  </si>
  <si>
    <t>LOGIN-API-TS-003</t>
  </si>
  <si>
    <t>LOGIN-API-TS-004</t>
  </si>
  <si>
    <t>LOGIN-API-TS-005</t>
  </si>
  <si>
    <t>LOGIN-API-TS-006</t>
  </si>
  <si>
    <t>LOGIN-API-TS-007</t>
  </si>
  <si>
    <t>LOGIN-API-TS-008</t>
  </si>
  <si>
    <t>LOGIN-API-TS-009</t>
  </si>
  <si>
    <t>LOGIN-API-TS-010</t>
  </si>
  <si>
    <t>LOGIN-API-TS-011</t>
  </si>
  <si>
    <t>LOGIN-API-TS-012</t>
  </si>
  <si>
    <t>LOGIN-API-TS-013</t>
  </si>
  <si>
    <t>LOGIN-API-TS-014</t>
  </si>
  <si>
    <t>LOGIN-API-TS-015</t>
  </si>
  <si>
    <t>LOGIN-API-TS-016</t>
  </si>
  <si>
    <t>LOGIN-API-TS-017</t>
  </si>
  <si>
    <t>LOGIN-API-TS-018</t>
  </si>
  <si>
    <t>LOGIN-API-TS-019</t>
  </si>
  <si>
    <t>LOGIN-API-TS-020</t>
  </si>
  <si>
    <t>LOGIN-API-TS-021</t>
  </si>
  <si>
    <t>LOGIN-API-TS-022</t>
  </si>
  <si>
    <t>LOGIN-API-TS-023</t>
  </si>
  <si>
    <t>LOGIN-API-TS-024</t>
  </si>
  <si>
    <t>LOGIN-API-TS-025</t>
  </si>
  <si>
    <t>LOGIN-API-TS-026</t>
  </si>
  <si>
    <t>LOGIN-API-TS-027</t>
  </si>
  <si>
    <t>LOGIN-API-TS-028</t>
  </si>
  <si>
    <t>LOGIN-API-TS-029</t>
  </si>
  <si>
    <t>LOGIN-API-TS-030</t>
  </si>
  <si>
    <t>LOGIN-API-TS-031</t>
  </si>
  <si>
    <t>LOGIN-API-TS-032</t>
  </si>
  <si>
    <t>LOGIN-API-TS-033</t>
  </si>
  <si>
    <t>LOGIN-API-TS-034</t>
  </si>
  <si>
    <t>LOGIN-API-TS-035</t>
  </si>
  <si>
    <t>LOGIN-API-TS-036</t>
  </si>
  <si>
    <t>LOGIN-API-TS-037</t>
  </si>
  <si>
    <t>LOGIN-API-TS-038</t>
  </si>
  <si>
    <t>LOGIN-API-TS-039</t>
  </si>
  <si>
    <t>LOGIN-API-TS-040</t>
  </si>
  <si>
    <t>LOGIN-API-TS-041</t>
  </si>
  <si>
    <t>LOGIN-API-TS-042</t>
  </si>
  <si>
    <t>LOGIN-API-TS-043</t>
  </si>
  <si>
    <t>LOGIN-API-TS-044</t>
  </si>
  <si>
    <t>LOGIN-API-TS-045</t>
  </si>
  <si>
    <t>LOGIN-API-TS-046</t>
  </si>
  <si>
    <t>LOGIN-API-TS-047</t>
  </si>
  <si>
    <t>LOGIN-API-TS-048</t>
  </si>
  <si>
    <t>LOGIN-API-TS-049</t>
  </si>
  <si>
    <t>LOGIN-API-TS-050</t>
  </si>
  <si>
    <t>미로그인 상태</t>
    <phoneticPr fontId="1" type="noConversion"/>
  </si>
  <si>
    <t>로그인 상태 메뉴에
"Logged in as syytest1" 아이디 노출된다</t>
    <phoneticPr fontId="1" type="noConversion"/>
  </si>
  <si>
    <t>메인페이지 &gt; 로그인 상태 메뉴에 [Logout] 노출된다</t>
    <phoneticPr fontId="1" type="noConversion"/>
  </si>
  <si>
    <t>메인페이지 &gt; 로그인 상태 메뉴에 [Delete Account] 노출된다</t>
    <phoneticPr fontId="1" type="noConversion"/>
  </si>
  <si>
    <t>로그인 완료된 메인 페이지 
 로그인 상태 메뉴 확인</t>
    <phoneticPr fontId="1" type="noConversion"/>
  </si>
  <si>
    <t>로그인 완료 메인페이지 &gt; 
로그인 상태 메뉴에 아이디 노출 확인</t>
    <phoneticPr fontId="1" type="noConversion"/>
  </si>
  <si>
    <t>로그인 완료 메인페이지 &gt; 
로그인 상태 메뉴에 로그아웃 버튼 노출 확인</t>
    <phoneticPr fontId="1" type="noConversion"/>
  </si>
  <si>
    <t>로그인 완료 메인페이지 &gt; 
로그인 상태 메뉴에 탈퇴 버튼 노출 확인</t>
    <phoneticPr fontId="1" type="noConversion"/>
  </si>
  <si>
    <t>입력값 검증이 브라우저 타입:이메일이라 의도하지 않게 인젝션을 방어하지만, 이메일 형식을 유지 후 
테스트하는 방식으로 보완하며, 테스트 설계 의도 유지</t>
    <phoneticPr fontId="1" type="noConversion"/>
  </si>
  <si>
    <t>로그인 완료 상태</t>
    <phoneticPr fontId="1" type="noConversion"/>
  </si>
  <si>
    <t>1. 서버 읍답 에러 케이스 검증
2. 유효하지 않은 계정 로그인 확인 케이스</t>
    <phoneticPr fontId="1" type="noConversion"/>
  </si>
  <si>
    <t>1. 유효하지 않는 아이디+비밀번호 입력
2. 로그인 실패 서버 에러메세지 확인</t>
    <phoneticPr fontId="1" type="noConversion"/>
  </si>
  <si>
    <t>[Regression TestCase] 로그인</t>
    <phoneticPr fontId="1" type="noConversion"/>
  </si>
  <si>
    <t>LOGIN-TC-001</t>
    <phoneticPr fontId="1" type="noConversion"/>
  </si>
  <si>
    <t>매핑 함수/마커</t>
    <phoneticPr fontId="1" type="noConversion"/>
  </si>
  <si>
    <t>test_login_failure[LOGIN-TC-006_SQL인젝션]</t>
    <phoneticPr fontId="1" type="noConversion"/>
  </si>
  <si>
    <t>test_login_failure[LOGIN-TC-005_이메일형식오류]</t>
    <phoneticPr fontId="1" type="noConversion"/>
  </si>
  <si>
    <t>test_login_failure[LOGIN-TC-004_이메일공백_비밀번호공백]</t>
    <phoneticPr fontId="1" type="noConversion"/>
  </si>
  <si>
    <t>test_login_failure[LOGIN-TC-003_이메일_비밀번호공백]</t>
    <phoneticPr fontId="1" type="noConversion"/>
  </si>
  <si>
    <t>test_login_failure[LOGIN-TC-002_유효하지않는이메일_비밀번호]</t>
    <phoneticPr fontId="1" type="noConversion"/>
  </si>
  <si>
    <t>test_login_failure[LOGIN-TC-001_유효한이메일_잘못된비밀번호]</t>
    <phoneticPr fontId="1" type="noConversion"/>
  </si>
  <si>
    <t>1. 장바구니 &gt; 구매하기 선택
2. 로그인 팝업 &gt; 로그인 화면 이동
3. 로그인 성공 시 메인페이지 이동
4. 메인 페이지 상태 메뉴 &gt; 아이디 노출</t>
    <phoneticPr fontId="1" type="noConversion"/>
  </si>
  <si>
    <t>1. 메인페이지 &gt; 로그인 선택
2. 로그인 성공 시 메인페이지 이동
3. 메인 페이지 상태 메뉴 &gt; 아이디 노출</t>
    <phoneticPr fontId="1" type="noConversion"/>
  </si>
  <si>
    <t>로그인 가능한 기존 계정 존재</t>
  </si>
  <si>
    <t>정상 로그인 되며, 메인 페이지 이동 후 
로그인 상태 메뉴에
"Logged in as syytest1" 노출된다</t>
    <phoneticPr fontId="1" type="noConversion"/>
  </si>
  <si>
    <r>
      <t>1. POST /api/createAccount 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신규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계정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생성
2. POST /api/verifyLogin 으로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검증
3. GET /api/getUserDetailByEmail 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등록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정보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조회</t>
    </r>
    <phoneticPr fontId="1" type="noConversion"/>
  </si>
  <si>
    <r>
      <rPr>
        <sz val="10"/>
        <color rgb="FF666666"/>
        <rFont val="맑은 고딕"/>
        <family val="3"/>
        <charset val="129"/>
      </rPr>
      <t>가입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Arial Unicode MS"/>
        <family val="2"/>
        <charset val="129"/>
      </rPr>
      <t xml:space="preserve">완료 시 "201, User created!"
</t>
    </r>
    <r>
      <rPr>
        <sz val="10"/>
        <color rgb="FF666666"/>
        <rFont val="맑은 고딕"/>
        <family val="3"/>
        <charset val="129"/>
      </rPr>
      <t>로그인 완료 시, "200, User exists!" 응답 되며,
조회된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회원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정보가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가입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입력값과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일치한다</t>
    </r>
    <phoneticPr fontId="1" type="noConversion"/>
  </si>
  <si>
    <r>
      <t>1. PUT /api/updateAccount 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비밀번호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변경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 xml:space="preserve">
2. POST /api/verifyLogin 으로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구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비밀번호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시도
3. POST /api/verifyLogin 으로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신규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비밀번호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시도</t>
    </r>
    <phoneticPr fontId="1" type="noConversion"/>
  </si>
  <si>
    <r>
      <rPr>
        <sz val="10"/>
        <color rgb="FF666666"/>
        <rFont val="맑은 고딕"/>
        <family val="3"/>
        <charset val="129"/>
      </rPr>
      <t>계정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삭제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후
재로그인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차단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검증</t>
    </r>
    <phoneticPr fontId="1" type="noConversion"/>
  </si>
  <si>
    <r>
      <rPr>
        <sz val="10"/>
        <color rgb="FF666666"/>
        <rFont val="맑은 고딕"/>
        <family val="3"/>
        <charset val="129"/>
      </rPr>
      <t>회원가입</t>
    </r>
    <r>
      <rPr>
        <sz val="10"/>
        <color rgb="FF666666"/>
        <rFont val="Arial"/>
        <family val="2"/>
      </rPr>
      <t xml:space="preserve"> &gt; 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&gt; </t>
    </r>
    <r>
      <rPr>
        <sz val="10"/>
        <color rgb="FF666666"/>
        <rFont val="맑은 고딕"/>
        <family val="3"/>
        <charset val="129"/>
      </rPr>
      <t>등록정보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일치</t>
    </r>
    <phoneticPr fontId="1" type="noConversion"/>
  </si>
  <si>
    <r>
      <rPr>
        <sz val="10"/>
        <color rgb="FF666666"/>
        <rFont val="맑은 고딕"/>
        <family val="3"/>
        <charset val="129"/>
      </rPr>
      <t>비밀번호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변경</t>
    </r>
    <r>
      <rPr>
        <sz val="10"/>
        <color rgb="FF666666"/>
        <rFont val="Arial"/>
        <family val="2"/>
      </rPr>
      <t xml:space="preserve"> &gt; 
</t>
    </r>
    <r>
      <rPr>
        <sz val="10"/>
        <color rgb="FF666666"/>
        <rFont val="Arial Unicode MS"/>
        <family val="2"/>
        <charset val="129"/>
      </rPr>
      <t>기존 비밀번호 로그인 불가 &gt;
변경한 비밀번호 로그인</t>
    </r>
    <phoneticPr fontId="1" type="noConversion"/>
  </si>
  <si>
    <t>계정 삭제 응답 검증</t>
    <phoneticPr fontId="1" type="noConversion"/>
  </si>
  <si>
    <r>
      <rPr>
        <sz val="10"/>
        <color rgb="FF666666"/>
        <rFont val="맑은 고딕"/>
        <family val="3"/>
        <charset val="129"/>
      </rPr>
      <t>계정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정보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변경에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따른</t>
    </r>
    <r>
      <rPr>
        <sz val="10"/>
        <color rgb="FF666666"/>
        <rFont val="Arial"/>
        <family val="2"/>
      </rPr>
      <t xml:space="preserve"> 
</t>
    </r>
    <r>
      <rPr>
        <sz val="10"/>
        <color rgb="FF666666"/>
        <rFont val="맑은 고딕"/>
        <family val="3"/>
        <charset val="129"/>
      </rPr>
      <t>응답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검증</t>
    </r>
    <phoneticPr fontId="1" type="noConversion"/>
  </si>
  <si>
    <r>
      <rPr>
        <sz val="10"/>
        <color rgb="FF666666"/>
        <rFont val="맑은 고딕"/>
        <family val="3"/>
        <charset val="129"/>
      </rPr>
      <t>정상 회원가입</t>
    </r>
    <r>
      <rPr>
        <sz val="10"/>
        <color rgb="FF666666"/>
        <rFont val="Arial"/>
        <family val="2"/>
      </rPr>
      <t>/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응답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검증</t>
    </r>
    <phoneticPr fontId="1" type="noConversion"/>
  </si>
  <si>
    <t>신규 계정 생성</t>
    <phoneticPr fontId="1" type="noConversion"/>
  </si>
  <si>
    <r>
      <rPr>
        <sz val="10"/>
        <color rgb="FF666666"/>
        <rFont val="맑은 고딕"/>
        <family val="3"/>
        <charset val="129"/>
      </rPr>
      <t>비밀 번호 변경 시 "200, User updated!"
구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비밀번호는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Arial Unicode MS"/>
        <family val="2"/>
        <charset val="129"/>
      </rPr>
      <t>로그인 시도 시 "</t>
    </r>
    <r>
      <rPr>
        <sz val="10"/>
        <color rgb="FF666666"/>
        <rFont val="맑은 고딕"/>
        <family val="3"/>
        <charset val="129"/>
      </rPr>
      <t>404, User not found!"
신규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비밀번호로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로그인되며 "200, User exists!" 응답된다</t>
    </r>
    <phoneticPr fontId="1" type="noConversion"/>
  </si>
  <si>
    <r>
      <rPr>
        <sz val="10"/>
        <color rgb="FF666666"/>
        <rFont val="맑은 고딕"/>
        <family val="3"/>
        <charset val="129"/>
      </rPr>
      <t xml:space="preserve">로그인 완료 시 200, User exists!"
계정 삭제 시 "200, Account deleted!"
</t>
    </r>
    <r>
      <rPr>
        <sz val="10"/>
        <color rgb="FF666666"/>
        <rFont val="Arial Unicode MS"/>
        <family val="2"/>
        <charset val="129"/>
      </rPr>
      <t>삭제한 아이디로 재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Arial Unicode MS"/>
        <family val="2"/>
        <charset val="129"/>
      </rPr>
      <t>시도 시</t>
    </r>
    <r>
      <rPr>
        <sz val="10"/>
        <color rgb="FF666666"/>
        <rFont val="맑은 고딕"/>
        <family val="3"/>
        <charset val="129"/>
      </rPr>
      <t xml:space="preserve">
"404, User not found!" 응답된다</t>
    </r>
    <phoneticPr fontId="1" type="noConversion"/>
  </si>
  <si>
    <r>
      <t>1. POST /api/verifyLogin 으로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Arial Unicode MS"/>
        <family val="2"/>
        <charset val="129"/>
      </rPr>
      <t xml:space="preserve">삭제 전 </t>
    </r>
    <r>
      <rPr>
        <sz val="10"/>
        <color rgb="FF666666"/>
        <rFont val="맑은 고딕"/>
        <family val="3"/>
        <charset val="129"/>
      </rPr>
      <t>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가능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상태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확인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 xml:space="preserve">
2. DELETE /api/deleteAccount 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계정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삭제
3. POST /api/verifyLogin 으로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Arial Unicode MS"/>
        <family val="2"/>
        <charset val="129"/>
      </rPr>
      <t>삭제한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계정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재로그인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시도</t>
    </r>
    <phoneticPr fontId="1" type="noConversion"/>
  </si>
  <si>
    <t>test_login_failure</t>
    <phoneticPr fontId="1" type="noConversion"/>
  </si>
  <si>
    <t>LOGIN-API-TS-002</t>
    <phoneticPr fontId="1" type="noConversion"/>
  </si>
  <si>
    <t>LOGIN-API-TS-001</t>
    <phoneticPr fontId="1" type="noConversion"/>
  </si>
  <si>
    <t>리그레이션 TC 작성</t>
    <phoneticPr fontId="1" type="noConversion"/>
  </si>
  <si>
    <t>E2E 시나리오 작성</t>
    <phoneticPr fontId="1" type="noConversion"/>
  </si>
  <si>
    <t>E2E  API 시나리오 작성</t>
    <phoneticPr fontId="1" type="noConversion"/>
  </si>
  <si>
    <t>test_update_account_response</t>
    <phoneticPr fontId="1" type="noConversion"/>
  </si>
  <si>
    <t>test_delete_account_response</t>
    <phoneticPr fontId="1" type="noConversion"/>
  </si>
  <si>
    <t>test_login_from_cart_page</t>
    <phoneticPr fontId="1" type="noConversion"/>
  </si>
  <si>
    <t>테스트 실패 확인</t>
    <phoneticPr fontId="1" type="noConversion"/>
  </si>
  <si>
    <t>● 로그인 실패 : 서버 에러 메시지와, 브라우저 검증 에러 메시지 2가지 로직</t>
    <phoneticPr fontId="1" type="noConversion"/>
  </si>
  <si>
    <t>[확인 사항]</t>
    <phoneticPr fontId="1" type="noConversion"/>
  </si>
  <si>
    <t>● HTML &lt;타입: 이메일&gt;로 브라우저에서 대부분 입력값 오류 막음</t>
    <phoneticPr fontId="1" type="noConversion"/>
  </si>
  <si>
    <t>● 각 테스트는 하나의 핵심 비즈니스 흐름 + 하나의 명확한 검증 목적만 갖도록 설계</t>
    <phoneticPr fontId="1" type="noConversion"/>
  </si>
  <si>
    <t xml:space="preserve">● 화면 기능 하나하나를 검증하지 않음, "화면들을 거쳐서 최종적으로 이 흐름이 완결되는가."를 기준으로 함 </t>
    <phoneticPr fontId="1" type="noConversion"/>
  </si>
  <si>
    <t>● UI 검증에 초점</t>
    <phoneticPr fontId="1" type="noConversion"/>
  </si>
  <si>
    <t>TC 구조 설계</t>
    <phoneticPr fontId="1" type="noConversion"/>
  </si>
  <si>
    <t>● UI 화면 검증 X,</t>
    <phoneticPr fontId="1" type="noConversion"/>
  </si>
  <si>
    <t>● API 호출이 연쇄될 때 요청/응답 올바른지, 그에 따라 DB나 서비스의 상태가 실제로 바뀌는지 초점을 맞춤</t>
    <phoneticPr fontId="1" type="noConversion"/>
  </si>
  <si>
    <t>[E2E API Test Scenario]로그인</t>
    <phoneticPr fontId="1" type="noConversion"/>
  </si>
  <si>
    <r>
      <t xml:space="preserve">test_login_from_main_page / </t>
    </r>
    <r>
      <rPr>
        <b/>
        <sz val="10"/>
        <color rgb="FFFF0000"/>
        <rFont val="맑은 고딕"/>
        <family val="3"/>
        <charset val="129"/>
        <scheme val="major"/>
      </rPr>
      <t>@smoke</t>
    </r>
    <phoneticPr fontId="1" type="noConversion"/>
  </si>
  <si>
    <r>
      <t>test_signup_and_login_response /</t>
    </r>
    <r>
      <rPr>
        <b/>
        <sz val="10"/>
        <color rgb="FFFF0000"/>
        <rFont val="맑은 고딕"/>
        <family val="3"/>
        <charset val="129"/>
        <scheme val="major"/>
      </rPr>
      <t xml:space="preserve"> @smoke</t>
    </r>
    <phoneticPr fontId="1" type="noConversion"/>
  </si>
  <si>
    <t>test_login_success</t>
    <phoneticPr fontId="1" type="noConversion"/>
  </si>
  <si>
    <t>로그인 : 화면까지 전달되는 UI 확인하기 위해 
스모크 테스트 선정</t>
    <phoneticPr fontId="1" type="noConversion"/>
  </si>
  <si>
    <t>로그인 : 회원가입/ 로그인/조회 API 통합 검증을 위해
스모크 테스트 선정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</si>
</sst>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.\ m\.\ d"/>
    <numFmt numFmtId="178" formatCode="0.0%"/>
  </numFmts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b/>
      <sz val="11"/>
      <color theme="3" tint="9.9978637043366805E-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8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8"/>
      <scheme val="minor"/>
    </font>
    <font>
      <sz val="14"/>
      <color theme="1"/>
      <name val="맑은 고딕"/>
      <family val="3"/>
      <charset val="128"/>
    </font>
    <font>
      <sz val="14"/>
      <color theme="1"/>
      <name val="맑은 고딕"/>
      <family val="3"/>
      <charset val="129"/>
    </font>
    <font>
      <sz val="10"/>
      <color rgb="FF666666"/>
      <name val="Malgun Gothic"/>
      <family val="3"/>
      <charset val="129"/>
    </font>
    <font>
      <sz val="18"/>
      <color rgb="FF666666"/>
      <name val="Malgun Gothic"/>
      <family val="3"/>
      <charset val="129"/>
    </font>
    <font>
      <b/>
      <sz val="10"/>
      <color rgb="FF666666"/>
      <name val="Malgun Gothic"/>
      <family val="3"/>
      <charset val="129"/>
    </font>
    <font>
      <b/>
      <sz val="18"/>
      <color rgb="FF666666"/>
      <name val="Malgun Gothic"/>
      <family val="3"/>
      <charset val="129"/>
    </font>
    <font>
      <b/>
      <sz val="24"/>
      <color rgb="FF666666"/>
      <name val="맑은 고딕"/>
      <family val="3"/>
      <charset val="129"/>
      <scheme val="major"/>
    </font>
    <font>
      <sz val="10"/>
      <color rgb="FF666666"/>
      <name val="맑은 고딕"/>
      <family val="3"/>
      <charset val="129"/>
      <scheme val="major"/>
    </font>
    <font>
      <b/>
      <sz val="10"/>
      <color rgb="FF666666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10"/>
      <color rgb="FF434343"/>
      <name val="맑은 고딕"/>
      <family val="3"/>
      <charset val="129"/>
      <scheme val="major"/>
    </font>
    <font>
      <b/>
      <sz val="11"/>
      <color rgb="FF666666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b/>
      <sz val="15"/>
      <color theme="1" tint="0.34998626667073579"/>
      <name val="맑은 고딕"/>
      <family val="3"/>
      <charset val="129"/>
      <scheme val="minor"/>
    </font>
    <font>
      <sz val="10"/>
      <color rgb="FF666666"/>
      <name val="맑은 고딕"/>
      <family val="3"/>
      <charset val="129"/>
    </font>
    <font>
      <sz val="10"/>
      <color rgb="FF666666"/>
      <name val="Noto Sans CJK SC"/>
      <family val="2"/>
    </font>
    <font>
      <sz val="10"/>
      <color rgb="FF666666"/>
      <name val="Arial"/>
      <family val="2"/>
    </font>
    <font>
      <sz val="10"/>
      <color rgb="FF666666"/>
      <name val="Noto Sans CJK SC"/>
      <family val="3"/>
      <charset val="129"/>
    </font>
    <font>
      <sz val="10"/>
      <color rgb="FF666666"/>
      <name val="Arial Unicode MS"/>
      <family val="2"/>
      <charset val="129"/>
    </font>
    <font>
      <b/>
      <sz val="10"/>
      <color rgb="FFFF0000"/>
      <name val="맑은 고딕"/>
      <family val="3"/>
      <charset val="129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DDF86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medium">
        <color theme="0" tint="-0.499984740745262"/>
      </left>
      <right style="thin">
        <color rgb="FF999999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999999"/>
      </left>
      <right style="thin">
        <color rgb="FF999999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rgb="FF999999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/>
      <bottom/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rgb="FF999999"/>
      </right>
      <top/>
      <bottom style="thin">
        <color rgb="FF999999"/>
      </bottom>
      <diagonal/>
    </border>
    <border>
      <left/>
      <right style="medium">
        <color theme="0" tint="-0.499984740745262"/>
      </right>
      <top/>
      <bottom style="thin">
        <color rgb="FF999999"/>
      </bottom>
      <diagonal/>
    </border>
    <border>
      <left style="medium">
        <color theme="0" tint="-0.499984740745262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medium">
        <color theme="0" tint="-0.499984740745262"/>
      </right>
      <top style="thin">
        <color rgb="FF999999"/>
      </top>
      <bottom style="thin">
        <color rgb="FF999999"/>
      </bottom>
      <diagonal/>
    </border>
    <border>
      <left style="medium">
        <color theme="0" tint="-0.499984740745262"/>
      </left>
      <right style="thin">
        <color rgb="FF999999"/>
      </right>
      <top style="thin">
        <color rgb="FF999999"/>
      </top>
      <bottom style="medium">
        <color theme="0" tint="-0.499984740745262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theme="0" tint="-0.499984740745262"/>
      </bottom>
      <diagonal/>
    </border>
    <border>
      <left/>
      <right/>
      <top style="thin">
        <color rgb="FF999999"/>
      </top>
      <bottom style="medium">
        <color theme="0" tint="-0.499984740745262"/>
      </bottom>
      <diagonal/>
    </border>
    <border>
      <left/>
      <right style="thin">
        <color rgb="FF999999"/>
      </right>
      <top style="thin">
        <color rgb="FF999999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rgb="FF999999"/>
      </top>
      <bottom style="medium">
        <color theme="0" tint="-0.499984740745262"/>
      </bottom>
      <diagonal/>
    </border>
    <border>
      <left/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medium">
        <color theme="0" tint="-0.499984740745262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999999"/>
      </left>
      <right style="medium">
        <color theme="0" tint="-0.499984740745262"/>
      </right>
      <top/>
      <bottom style="thin">
        <color rgb="FF999999"/>
      </bottom>
      <diagonal/>
    </border>
    <border>
      <left style="thin">
        <color rgb="FF999999"/>
      </left>
      <right style="medium">
        <color theme="0" tint="-0.499984740745262"/>
      </right>
      <top style="thin">
        <color rgb="FF999999"/>
      </top>
      <bottom style="medium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96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1" xfId="0" quotePrefix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0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0" fillId="0" borderId="0" xfId="0" applyAlignment="1"/>
    <xf numFmtId="0" fontId="14" fillId="0" borderId="0" xfId="0" applyFont="1" applyAlignment="1">
      <alignment vertical="center"/>
    </xf>
    <xf numFmtId="0" fontId="14" fillId="12" borderId="13" xfId="0" applyFont="1" applyFill="1" applyBorder="1" applyAlignment="1">
      <alignment vertical="center"/>
    </xf>
    <xf numFmtId="0" fontId="14" fillId="12" borderId="14" xfId="0" applyFont="1" applyFill="1" applyBorder="1" applyAlignment="1">
      <alignment vertical="center"/>
    </xf>
    <xf numFmtId="0" fontId="15" fillId="12" borderId="14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vertical="center"/>
    </xf>
    <xf numFmtId="0" fontId="14" fillId="12" borderId="15" xfId="0" applyFont="1" applyFill="1" applyBorder="1" applyAlignment="1">
      <alignment vertical="center"/>
    </xf>
    <xf numFmtId="0" fontId="14" fillId="12" borderId="16" xfId="0" applyFont="1" applyFill="1" applyBorder="1" applyAlignment="1">
      <alignment vertical="center"/>
    </xf>
    <xf numFmtId="0" fontId="15" fillId="12" borderId="16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vertical="center"/>
    </xf>
    <xf numFmtId="0" fontId="16" fillId="11" borderId="20" xfId="0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49" fontId="18" fillId="14" borderId="25" xfId="0" applyNumberFormat="1" applyFont="1" applyFill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/>
    <xf numFmtId="49" fontId="18" fillId="14" borderId="25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20" fillId="13" borderId="26" xfId="0" applyFont="1" applyFill="1" applyBorder="1" applyAlignment="1">
      <alignment horizontal="left"/>
    </xf>
    <xf numFmtId="0" fontId="19" fillId="0" borderId="26" xfId="0" applyFont="1" applyBorder="1" applyAlignment="1"/>
    <xf numFmtId="0" fontId="20" fillId="0" borderId="26" xfId="0" applyFont="1" applyBorder="1" applyAlignment="1"/>
    <xf numFmtId="0" fontId="20" fillId="15" borderId="11" xfId="0" applyFont="1" applyFill="1" applyBorder="1" applyAlignment="1">
      <alignment horizontal="center" wrapText="1"/>
    </xf>
    <xf numFmtId="0" fontId="20" fillId="15" borderId="11" xfId="0" applyFont="1" applyFill="1" applyBorder="1" applyAlignment="1">
      <alignment horizontal="right" wrapText="1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/>
    <xf numFmtId="0" fontId="19" fillId="0" borderId="0" xfId="0" quotePrefix="1" applyFont="1" applyAlignment="1"/>
    <xf numFmtId="0" fontId="19" fillId="0" borderId="11" xfId="0" applyFont="1" applyBorder="1" applyAlignment="1">
      <alignment horizontal="center" wrapText="1"/>
    </xf>
    <xf numFmtId="0" fontId="19" fillId="0" borderId="27" xfId="0" applyFont="1" applyBorder="1" applyAlignment="1"/>
    <xf numFmtId="0" fontId="22" fillId="16" borderId="0" xfId="0" applyFont="1" applyFill="1" applyAlignment="1">
      <alignment horizontal="left" wrapText="1"/>
    </xf>
    <xf numFmtId="0" fontId="22" fillId="16" borderId="0" xfId="0" applyFont="1" applyFill="1" applyAlignment="1">
      <alignment horizontal="center" wrapText="1"/>
    </xf>
    <xf numFmtId="0" fontId="19" fillId="0" borderId="28" xfId="0" applyFont="1" applyBorder="1" applyAlignment="1">
      <alignment horizontal="center" vertical="center"/>
    </xf>
    <xf numFmtId="49" fontId="19" fillId="0" borderId="34" xfId="0" applyNumberFormat="1" applyFont="1" applyBorder="1" applyAlignment="1">
      <alignment horizontal="center" vertical="center"/>
    </xf>
    <xf numFmtId="49" fontId="19" fillId="0" borderId="34" xfId="0" applyNumberFormat="1" applyFont="1" applyBorder="1" applyAlignment="1">
      <alignment vertical="center"/>
    </xf>
    <xf numFmtId="0" fontId="19" fillId="0" borderId="32" xfId="0" applyFont="1" applyBorder="1" applyAlignment="1">
      <alignment horizontal="center" vertical="center"/>
    </xf>
    <xf numFmtId="49" fontId="26" fillId="16" borderId="34" xfId="0" applyNumberFormat="1" applyFont="1" applyFill="1" applyBorder="1" applyAlignment="1">
      <alignment vertical="center"/>
    </xf>
    <xf numFmtId="49" fontId="19" fillId="16" borderId="0" xfId="0" applyNumberFormat="1" applyFont="1" applyFill="1" applyAlignment="1">
      <alignment vertical="center"/>
    </xf>
    <xf numFmtId="49" fontId="19" fillId="16" borderId="0" xfId="0" applyNumberFormat="1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25" fillId="0" borderId="0" xfId="0" applyFont="1" applyAlignment="1"/>
    <xf numFmtId="0" fontId="9" fillId="17" borderId="8" xfId="0" applyFont="1" applyFill="1" applyBorder="1" applyAlignment="1">
      <alignment vertical="center"/>
    </xf>
    <xf numFmtId="0" fontId="10" fillId="17" borderId="8" xfId="0" applyFont="1" applyFill="1" applyBorder="1" applyAlignment="1">
      <alignment vertical="center"/>
    </xf>
    <xf numFmtId="0" fontId="9" fillId="17" borderId="37" xfId="0" applyFont="1" applyFill="1" applyBorder="1" applyAlignment="1">
      <alignment vertical="center"/>
    </xf>
    <xf numFmtId="0" fontId="9" fillId="17" borderId="38" xfId="0" applyFont="1" applyFill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11" borderId="39" xfId="0" applyFont="1" applyFill="1" applyBorder="1" applyAlignment="1">
      <alignment vertical="center"/>
    </xf>
    <xf numFmtId="0" fontId="13" fillId="11" borderId="42" xfId="0" applyFont="1" applyFill="1" applyBorder="1" applyAlignment="1">
      <alignment vertical="center"/>
    </xf>
    <xf numFmtId="0" fontId="10" fillId="11" borderId="44" xfId="0" applyFont="1" applyFill="1" applyBorder="1" applyAlignment="1">
      <alignment vertical="center"/>
    </xf>
    <xf numFmtId="0" fontId="9" fillId="11" borderId="45" xfId="0" applyFont="1" applyFill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23" fillId="18" borderId="0" xfId="0" applyFont="1" applyFill="1" applyAlignment="1">
      <alignment horizontal="left" wrapText="1"/>
    </xf>
    <xf numFmtId="0" fontId="23" fillId="18" borderId="0" xfId="0" applyFont="1" applyFill="1" applyAlignment="1">
      <alignment horizontal="center" wrapText="1"/>
    </xf>
    <xf numFmtId="0" fontId="14" fillId="0" borderId="48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34" xfId="0" applyFont="1" applyBorder="1" applyAlignment="1">
      <alignment horizontal="center" vertical="center"/>
    </xf>
    <xf numFmtId="0" fontId="25" fillId="17" borderId="0" xfId="0" applyFont="1" applyFill="1" applyAlignment="1">
      <alignment horizontal="right"/>
    </xf>
    <xf numFmtId="176" fontId="14" fillId="0" borderId="17" xfId="0" applyNumberFormat="1" applyFont="1" applyBorder="1" applyAlignment="1">
      <alignment horizontal="center" vertical="center"/>
    </xf>
    <xf numFmtId="0" fontId="14" fillId="0" borderId="61" xfId="0" applyFont="1" applyBorder="1" applyAlignment="1">
      <alignment horizontal="left" vertical="center"/>
    </xf>
    <xf numFmtId="0" fontId="0" fillId="0" borderId="11" xfId="0" applyBorder="1" applyAlignment="1"/>
    <xf numFmtId="0" fontId="0" fillId="0" borderId="51" xfId="0" applyBorder="1" applyAlignment="1"/>
    <xf numFmtId="176" fontId="14" fillId="0" borderId="10" xfId="0" applyNumberFormat="1" applyFont="1" applyBorder="1" applyAlignment="1">
      <alignment horizontal="center" vertical="center"/>
    </xf>
    <xf numFmtId="176" fontId="14" fillId="0" borderId="53" xfId="0" applyNumberFormat="1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left" wrapText="1"/>
    </xf>
    <xf numFmtId="178" fontId="19" fillId="0" borderId="0" xfId="0" applyNumberFormat="1" applyFont="1" applyAlignment="1">
      <alignment horizontal="center" vertical="center"/>
    </xf>
    <xf numFmtId="0" fontId="20" fillId="0" borderId="0" xfId="0" applyFont="1" applyBorder="1" applyAlignment="1"/>
    <xf numFmtId="0" fontId="19" fillId="0" borderId="0" xfId="0" applyFont="1" applyBorder="1" applyAlignment="1"/>
    <xf numFmtId="0" fontId="19" fillId="0" borderId="34" xfId="0" applyNumberFormat="1" applyFont="1" applyBorder="1" applyAlignment="1">
      <alignment horizontal="center" vertical="center"/>
    </xf>
    <xf numFmtId="49" fontId="19" fillId="0" borderId="34" xfId="0" applyNumberFormat="1" applyFont="1" applyBorder="1" applyAlignment="1">
      <alignment vertical="center" wrapText="1"/>
    </xf>
    <xf numFmtId="0" fontId="25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21" fillId="0" borderId="0" xfId="0" applyFont="1" applyAlignment="1">
      <alignment horizontal="left"/>
    </xf>
    <xf numFmtId="0" fontId="19" fillId="0" borderId="32" xfId="0" applyFont="1" applyBorder="1" applyAlignment="1">
      <alignment vertical="center"/>
    </xf>
    <xf numFmtId="49" fontId="18" fillId="14" borderId="25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77" fontId="19" fillId="0" borderId="1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3" fillId="18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77" fontId="19" fillId="0" borderId="1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28" fillId="0" borderId="1" xfId="0" applyNumberFormat="1" applyFont="1" applyBorder="1">
      <alignment vertical="center"/>
    </xf>
    <xf numFmtId="49" fontId="29" fillId="0" borderId="1" xfId="0" applyNumberFormat="1" applyFont="1" applyBorder="1" applyAlignment="1">
      <alignment vertical="center" wrapText="1"/>
    </xf>
    <xf numFmtId="49" fontId="29" fillId="0" borderId="1" xfId="0" applyNumberFormat="1" applyFont="1" applyBorder="1">
      <alignment vertical="center"/>
    </xf>
    <xf numFmtId="49" fontId="28" fillId="0" borderId="1" xfId="0" applyNumberFormat="1" applyFont="1" applyBorder="1" applyAlignment="1">
      <alignment vertical="center" wrapText="1"/>
    </xf>
    <xf numFmtId="49" fontId="31" fillId="0" borderId="1" xfId="0" applyNumberFormat="1" applyFont="1" applyBorder="1" applyAlignment="1">
      <alignment vertical="center" wrapText="1"/>
    </xf>
    <xf numFmtId="0" fontId="19" fillId="0" borderId="32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8" xfId="0" applyBorder="1" applyAlignment="1"/>
    <xf numFmtId="0" fontId="7" fillId="0" borderId="0" xfId="0" applyFont="1" applyAlignment="1">
      <alignment horizontal="left" vertical="center"/>
    </xf>
    <xf numFmtId="0" fontId="0" fillId="0" borderId="0" xfId="0" applyAlignment="1"/>
    <xf numFmtId="0" fontId="10" fillId="10" borderId="1" xfId="0" applyFont="1" applyFill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0" fillId="0" borderId="22" xfId="0" applyBorder="1" applyAlignment="1"/>
    <xf numFmtId="0" fontId="0" fillId="0" borderId="57" xfId="0" applyBorder="1" applyAlignment="1"/>
    <xf numFmtId="0" fontId="27" fillId="11" borderId="58" xfId="0" applyFont="1" applyFill="1" applyBorder="1" applyAlignment="1">
      <alignment horizontal="center" vertical="center"/>
    </xf>
    <xf numFmtId="0" fontId="0" fillId="0" borderId="24" xfId="0" applyBorder="1" applyAlignment="1"/>
    <xf numFmtId="0" fontId="10" fillId="11" borderId="41" xfId="0" applyFont="1" applyFill="1" applyBorder="1" applyAlignment="1">
      <alignment horizontal="left" vertical="center"/>
    </xf>
    <xf numFmtId="0" fontId="0" fillId="0" borderId="40" xfId="0" applyBorder="1" applyAlignment="1"/>
    <xf numFmtId="0" fontId="0" fillId="0" borderId="37" xfId="0" applyBorder="1" applyAlignment="1"/>
    <xf numFmtId="0" fontId="10" fillId="11" borderId="60" xfId="0" applyFont="1" applyFill="1" applyBorder="1" applyAlignment="1">
      <alignment horizontal="left" vertical="center" wrapText="1"/>
    </xf>
    <xf numFmtId="0" fontId="0" fillId="0" borderId="7" xfId="0" applyBorder="1" applyAlignment="1"/>
    <xf numFmtId="0" fontId="0" fillId="0" borderId="9" xfId="0" applyBorder="1" applyAlignment="1"/>
    <xf numFmtId="0" fontId="8" fillId="0" borderId="36" xfId="0" applyFont="1" applyBorder="1" applyAlignment="1">
      <alignment horizontal="left" vertical="center"/>
    </xf>
    <xf numFmtId="0" fontId="0" fillId="0" borderId="59" xfId="0" applyBorder="1" applyAlignment="1"/>
    <xf numFmtId="0" fontId="10" fillId="0" borderId="1" xfId="0" applyFont="1" applyBorder="1" applyAlignment="1">
      <alignment horizontal="left" vertical="center"/>
    </xf>
    <xf numFmtId="0" fontId="27" fillId="11" borderId="35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left" vertical="center"/>
    </xf>
    <xf numFmtId="0" fontId="10" fillId="11" borderId="42" xfId="0" applyFont="1" applyFill="1" applyBorder="1" applyAlignment="1">
      <alignment horizontal="left" vertical="center"/>
    </xf>
    <xf numFmtId="0" fontId="0" fillId="0" borderId="43" xfId="0" applyBorder="1" applyAlignment="1"/>
    <xf numFmtId="0" fontId="6" fillId="0" borderId="0" xfId="0" applyFont="1" applyAlignment="1">
      <alignment horizontal="left" vertical="center"/>
    </xf>
    <xf numFmtId="0" fontId="17" fillId="12" borderId="62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6" xfId="0" applyBorder="1" applyAlignment="1"/>
    <xf numFmtId="0" fontId="14" fillId="0" borderId="10" xfId="0" applyFont="1" applyBorder="1" applyAlignment="1">
      <alignment horizontal="left" vertical="center"/>
    </xf>
    <xf numFmtId="0" fontId="0" fillId="0" borderId="11" xfId="0" applyBorder="1" applyAlignment="1"/>
    <xf numFmtId="0" fontId="0" fillId="0" borderId="12" xfId="0" applyBorder="1" applyAlignment="1"/>
    <xf numFmtId="0" fontId="14" fillId="0" borderId="61" xfId="0" applyFont="1" applyBorder="1" applyAlignment="1">
      <alignment horizontal="left" vertical="center"/>
    </xf>
    <xf numFmtId="0" fontId="0" fillId="0" borderId="51" xfId="0" applyBorder="1" applyAlignment="1"/>
    <xf numFmtId="0" fontId="14" fillId="0" borderId="17" xfId="0" applyFont="1" applyBorder="1" applyAlignment="1">
      <alignment horizontal="left" vertical="center"/>
    </xf>
    <xf numFmtId="0" fontId="0" fillId="0" borderId="18" xfId="0" applyBorder="1" applyAlignment="1"/>
    <xf numFmtId="0" fontId="0" fillId="0" borderId="19" xfId="0" applyBorder="1" applyAlignment="1"/>
    <xf numFmtId="0" fontId="16" fillId="11" borderId="63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0" fillId="0" borderId="54" xfId="0" applyBorder="1" applyAlignment="1"/>
    <xf numFmtId="0" fontId="0" fillId="0" borderId="55" xfId="0" applyBorder="1" applyAlignment="1"/>
    <xf numFmtId="0" fontId="16" fillId="11" borderId="21" xfId="0" applyFont="1" applyFill="1" applyBorder="1" applyAlignment="1">
      <alignment horizontal="center" vertical="center"/>
    </xf>
    <xf numFmtId="0" fontId="0" fillId="0" borderId="23" xfId="0" applyBorder="1" applyAlignment="1"/>
    <xf numFmtId="0" fontId="14" fillId="0" borderId="64" xfId="0" applyFont="1" applyBorder="1" applyAlignment="1">
      <alignment horizontal="left" vertical="center"/>
    </xf>
    <xf numFmtId="0" fontId="0" fillId="0" borderId="49" xfId="0" applyBorder="1" applyAlignment="1"/>
    <xf numFmtId="0" fontId="14" fillId="0" borderId="65" xfId="0" applyFont="1" applyBorder="1" applyAlignment="1">
      <alignment horizontal="left" vertical="center"/>
    </xf>
    <xf numFmtId="0" fontId="0" fillId="0" borderId="56" xfId="0" applyBorder="1" applyAlignment="1"/>
    <xf numFmtId="0" fontId="2" fillId="3" borderId="0" xfId="0" applyFont="1" applyFill="1" applyAlignment="1">
      <alignment horizontal="center" vertical="center"/>
    </xf>
    <xf numFmtId="49" fontId="19" fillId="0" borderId="29" xfId="0" applyNumberFormat="1" applyFont="1" applyBorder="1" applyAlignment="1">
      <alignment horizontal="left" vertical="center"/>
    </xf>
    <xf numFmtId="49" fontId="19" fillId="0" borderId="31" xfId="0" applyNumberFormat="1" applyFont="1" applyBorder="1" applyAlignment="1">
      <alignment horizontal="left" vertical="center"/>
    </xf>
    <xf numFmtId="49" fontId="19" fillId="0" borderId="33" xfId="0" applyNumberFormat="1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49" fontId="19" fillId="0" borderId="29" xfId="0" applyNumberFormat="1" applyFont="1" applyBorder="1" applyAlignment="1">
      <alignment horizontal="left" vertical="center" wrapText="1"/>
    </xf>
    <xf numFmtId="49" fontId="19" fillId="0" borderId="31" xfId="0" applyNumberFormat="1" applyFont="1" applyBorder="1" applyAlignment="1">
      <alignment horizontal="left" vertical="center" wrapText="1"/>
    </xf>
    <xf numFmtId="49" fontId="19" fillId="0" borderId="33" xfId="0" applyNumberFormat="1" applyFont="1" applyBorder="1" applyAlignment="1">
      <alignment horizontal="left" vertical="center" wrapText="1"/>
    </xf>
    <xf numFmtId="0" fontId="24" fillId="15" borderId="30" xfId="0" applyFont="1" applyFill="1" applyBorder="1" applyAlignment="1">
      <alignment horizontal="center" vertical="center" wrapText="1"/>
    </xf>
    <xf numFmtId="0" fontId="0" fillId="0" borderId="28" xfId="0" applyBorder="1" applyAlignment="1"/>
    <xf numFmtId="0" fontId="0" fillId="0" borderId="32" xfId="0" applyBorder="1" applyAlignment="1"/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4" fillId="15" borderId="29" xfId="0" applyFont="1" applyFill="1" applyBorder="1" applyAlignment="1">
      <alignment horizontal="center" vertical="center" wrapText="1"/>
    </xf>
    <xf numFmtId="0" fontId="24" fillId="15" borderId="31" xfId="0" applyFont="1" applyFill="1" applyBorder="1" applyAlignment="1">
      <alignment horizontal="center" vertical="center" wrapText="1"/>
    </xf>
    <xf numFmtId="0" fontId="24" fillId="15" borderId="33" xfId="0" applyFont="1" applyFill="1" applyBorder="1" applyAlignment="1">
      <alignment horizontal="center" vertical="center" wrapText="1"/>
    </xf>
    <xf numFmtId="0" fontId="24" fillId="15" borderId="34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0" fillId="0" borderId="33" xfId="0" applyBorder="1" applyAlignment="1"/>
    <xf numFmtId="0" fontId="0" fillId="0" borderId="28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/>
    <xf numFmtId="49" fontId="29" fillId="0" borderId="3" xfId="0" applyNumberFormat="1" applyFont="1" applyBorder="1" applyAlignment="1">
      <alignment horizontal="left" vertical="center"/>
    </xf>
    <xf numFmtId="49" fontId="29" fillId="0" borderId="8" xfId="0" applyNumberFormat="1" applyFont="1" applyBorder="1" applyAlignment="1">
      <alignment horizontal="left" vertical="center"/>
    </xf>
  </cellXfs>
  <cellStyles count="1">
    <cellStyle name="표준" xfId="0" builtinId="0"/>
  </cellStyles>
  <dxfs count="20">
    <dxf>
      <font>
        <color rgb="FF666666"/>
        <name val="맑은 고딕"/>
      </font>
      <fill>
        <patternFill patternType="solid">
          <fgColor rgb="FFF2F2F2"/>
          <bgColor theme="0" tint="-0.24994659260841701"/>
        </patternFill>
      </fill>
    </dxf>
    <dxf>
      <font>
        <color rgb="FF666666"/>
        <name val="맑은 고딕"/>
      </font>
      <fill>
        <patternFill patternType="solid">
          <fgColor rgb="FFFFFFCC"/>
          <bgColor rgb="FFFFFFCC"/>
        </patternFill>
      </fill>
    </dxf>
    <dxf>
      <font>
        <color rgb="FF666666"/>
        <name val="맑은 고딕"/>
      </font>
      <fill>
        <patternFill patternType="solid">
          <fgColor rgb="FFC6E0B4"/>
          <bgColor theme="3" tint="0.89996032593768116"/>
        </patternFill>
      </fill>
    </dxf>
    <dxf>
      <fill>
        <patternFill patternType="solid">
          <fgColor rgb="FFD3EEC0"/>
          <bgColor rgb="FFD3EEC0"/>
        </patternFill>
      </fill>
    </dxf>
    <dxf>
      <fill>
        <patternFill>
          <bgColor rgb="FFEFEFEF"/>
        </patternFill>
      </fill>
    </dxf>
    <dxf>
      <fill>
        <patternFill>
          <bgColor rgb="FFD3EEC0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ont>
        <color rgb="FF666666"/>
        <name val="맑은 고딕"/>
      </font>
      <fill>
        <patternFill patternType="solid">
          <fgColor rgb="FFF2F2F2"/>
          <bgColor theme="0" tint="-0.24994659260841701"/>
        </patternFill>
      </fill>
    </dxf>
    <dxf>
      <font>
        <color rgb="FF666666"/>
        <name val="맑은 고딕"/>
      </font>
      <fill>
        <patternFill patternType="solid">
          <fgColor rgb="FFFFFFCC"/>
          <bgColor rgb="FFFFFFCC"/>
        </patternFill>
      </fill>
    </dxf>
    <dxf>
      <font>
        <color rgb="FF666666"/>
        <name val="맑은 고딕"/>
      </font>
      <fill>
        <patternFill patternType="solid">
          <fgColor rgb="FFC6E0B4"/>
          <bgColor theme="3" tint="0.89996032593768116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3EEC0"/>
          <bgColor rgb="FFD3EEC0"/>
        </patternFill>
      </fill>
    </dxf>
    <dxf>
      <font>
        <color rgb="FF666666"/>
        <name val="맑은 고딕"/>
      </font>
      <fill>
        <patternFill patternType="solid">
          <fgColor rgb="FFF2F2F2"/>
          <bgColor theme="0" tint="-0.24994659260841701"/>
        </patternFill>
      </fill>
    </dxf>
    <dxf>
      <font>
        <color rgb="FF666666"/>
        <name val="맑은 고딕"/>
      </font>
      <fill>
        <patternFill patternType="solid">
          <fgColor rgb="FFFFFFCC"/>
          <bgColor rgb="FFFFFFCC"/>
        </patternFill>
      </fill>
    </dxf>
    <dxf>
      <font>
        <color rgb="FF666666"/>
        <name val="맑은 고딕"/>
      </font>
      <fill>
        <patternFill patternType="solid">
          <fgColor rgb="FFC6E0B4"/>
          <bgColor theme="3" tint="0.89996032593768116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3EEC0"/>
          <bgColor rgb="FFD3EEC0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3EEC0"/>
          <bgColor rgb="FFD3EE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4"/>
  <sheetViews>
    <sheetView zoomScale="55" zoomScaleNormal="55" workbookViewId="0">
      <selection activeCell="O6" sqref="O6"/>
    </sheetView>
  </sheetViews>
  <sheetFormatPr defaultRowHeight="17.399999999999999"/>
  <cols>
    <col min="2" max="2" width="6.296875" style="30" customWidth="1"/>
    <col min="3" max="3" width="51.5" style="30" customWidth="1"/>
    <col min="4" max="4" width="58.296875" style="30" customWidth="1"/>
    <col min="5" max="5" width="74.5" style="30" customWidth="1"/>
    <col min="6" max="6" width="15.09765625" style="30" customWidth="1"/>
    <col min="8" max="8" width="17.69921875" style="30" customWidth="1"/>
    <col min="9" max="9" width="14.59765625" style="30" customWidth="1"/>
    <col min="10" max="10" width="12.3984375" style="30" customWidth="1"/>
    <col min="12" max="12" width="35.69921875" style="30" customWidth="1"/>
  </cols>
  <sheetData>
    <row r="2" spans="2:12" ht="25.8" customHeight="1" thickBot="1">
      <c r="B2" s="126" t="s">
        <v>0</v>
      </c>
      <c r="C2" s="127"/>
    </row>
    <row r="3" spans="2:12" ht="27" customHeight="1" thickBot="1">
      <c r="B3" s="143" t="s">
        <v>1</v>
      </c>
      <c r="C3" s="131"/>
    </row>
    <row r="4" spans="2:12" ht="22.8" customHeight="1" thickBot="1">
      <c r="B4" s="140" t="s">
        <v>2</v>
      </c>
      <c r="C4" s="141"/>
    </row>
    <row r="5" spans="2:12" ht="18" customHeight="1" thickBot="1"/>
    <row r="6" spans="2:12" ht="27" customHeight="1" thickBot="1">
      <c r="B6" s="143" t="s">
        <v>3</v>
      </c>
      <c r="C6" s="131"/>
    </row>
    <row r="7" spans="2:12" ht="22.8" customHeight="1" thickBot="1">
      <c r="B7" s="140" t="s">
        <v>4</v>
      </c>
      <c r="C7" s="141"/>
    </row>
    <row r="8" spans="2:12" ht="18" customHeight="1" thickBot="1"/>
    <row r="9" spans="2:12" ht="27" customHeight="1" thickBot="1">
      <c r="B9" s="143" t="s">
        <v>5</v>
      </c>
      <c r="C9" s="131"/>
    </row>
    <row r="10" spans="2:12" ht="22.8" customHeight="1" thickBot="1">
      <c r="B10" s="140" t="s">
        <v>6</v>
      </c>
      <c r="C10" s="141"/>
    </row>
    <row r="13" spans="2:12" ht="25.8" customHeight="1" thickBot="1">
      <c r="B13" s="147" t="s">
        <v>7</v>
      </c>
      <c r="C13" s="127"/>
      <c r="D13" s="127"/>
    </row>
    <row r="14" spans="2:12" ht="24.6" customHeight="1" thickBot="1">
      <c r="B14" s="132" t="s">
        <v>8</v>
      </c>
      <c r="C14" s="130"/>
      <c r="D14" s="130"/>
      <c r="E14" s="130"/>
      <c r="F14" s="133"/>
    </row>
    <row r="15" spans="2:12" ht="21.6" customHeight="1" thickBot="1">
      <c r="B15" s="73" t="s">
        <v>9</v>
      </c>
      <c r="C15" s="72" t="s">
        <v>10</v>
      </c>
      <c r="D15" s="71" t="s">
        <v>11</v>
      </c>
      <c r="E15" s="71" t="s">
        <v>12</v>
      </c>
      <c r="F15" s="74" t="s">
        <v>13</v>
      </c>
      <c r="G15" s="21"/>
      <c r="H15" s="79" t="s">
        <v>13</v>
      </c>
      <c r="I15" s="129" t="s">
        <v>14</v>
      </c>
      <c r="J15" s="130"/>
      <c r="K15" s="130"/>
      <c r="L15" s="131"/>
    </row>
    <row r="16" spans="2:12" ht="21" customHeight="1">
      <c r="B16" s="144" t="s">
        <v>15</v>
      </c>
      <c r="C16" s="128" t="s">
        <v>16</v>
      </c>
      <c r="D16" s="142" t="s">
        <v>17</v>
      </c>
      <c r="E16" s="24" t="s">
        <v>18</v>
      </c>
      <c r="F16" s="75" t="s">
        <v>19</v>
      </c>
      <c r="G16" s="21"/>
      <c r="H16" s="80" t="s">
        <v>20</v>
      </c>
    </row>
    <row r="17" spans="2:10" ht="21" customHeight="1">
      <c r="B17" s="135"/>
      <c r="C17" s="124"/>
      <c r="D17" s="124"/>
      <c r="E17" s="22" t="s">
        <v>21</v>
      </c>
      <c r="F17" s="75" t="s">
        <v>19</v>
      </c>
      <c r="G17" s="21"/>
      <c r="H17" s="80" t="s">
        <v>22</v>
      </c>
    </row>
    <row r="18" spans="2:10" ht="21" customHeight="1">
      <c r="B18" s="135"/>
      <c r="C18" s="124"/>
      <c r="D18" s="124"/>
      <c r="E18" s="25" t="s">
        <v>23</v>
      </c>
      <c r="F18" s="75" t="s">
        <v>24</v>
      </c>
      <c r="G18" s="21"/>
      <c r="H18" s="80" t="s">
        <v>25</v>
      </c>
    </row>
    <row r="19" spans="2:10" ht="21.6" customHeight="1" thickBot="1">
      <c r="B19" s="135"/>
      <c r="C19" s="124"/>
      <c r="D19" s="124"/>
      <c r="E19" s="24" t="s">
        <v>26</v>
      </c>
      <c r="F19" s="75" t="s">
        <v>27</v>
      </c>
      <c r="G19" s="21"/>
      <c r="H19" s="81" t="s">
        <v>28</v>
      </c>
    </row>
    <row r="20" spans="2:10" ht="21" customHeight="1">
      <c r="B20" s="135"/>
      <c r="C20" s="124"/>
      <c r="D20" s="124"/>
      <c r="E20" s="22" t="s">
        <v>29</v>
      </c>
      <c r="F20" s="75" t="s">
        <v>24</v>
      </c>
      <c r="G20" s="21"/>
    </row>
    <row r="21" spans="2:10" ht="21" customHeight="1">
      <c r="B21" s="136"/>
      <c r="C21" s="125"/>
      <c r="D21" s="125"/>
      <c r="E21" s="22" t="s">
        <v>30</v>
      </c>
      <c r="F21" s="75" t="s">
        <v>31</v>
      </c>
      <c r="G21" s="21"/>
      <c r="H21" s="21"/>
      <c r="I21" s="21"/>
      <c r="J21" s="21"/>
    </row>
    <row r="22" spans="2:10" ht="21" customHeight="1">
      <c r="B22" s="134" t="s">
        <v>32</v>
      </c>
      <c r="C22" s="123" t="s">
        <v>33</v>
      </c>
      <c r="D22" s="137" t="s">
        <v>34</v>
      </c>
      <c r="E22" s="26" t="s">
        <v>35</v>
      </c>
      <c r="F22" s="76" t="s">
        <v>19</v>
      </c>
      <c r="G22" s="21"/>
      <c r="H22" s="21"/>
      <c r="I22" s="21"/>
      <c r="J22" s="21"/>
    </row>
    <row r="23" spans="2:10" ht="42" customHeight="1">
      <c r="B23" s="135"/>
      <c r="C23" s="124"/>
      <c r="D23" s="138"/>
      <c r="E23" s="26" t="s">
        <v>36</v>
      </c>
      <c r="F23" s="76" t="s">
        <v>19</v>
      </c>
    </row>
    <row r="24" spans="2:10" s="5" customFormat="1" ht="42" customHeight="1">
      <c r="B24" s="135"/>
      <c r="C24" s="124"/>
      <c r="D24" s="138"/>
      <c r="E24" s="26" t="s">
        <v>37</v>
      </c>
      <c r="F24" s="76" t="s">
        <v>24</v>
      </c>
    </row>
    <row r="25" spans="2:10" s="5" customFormat="1" ht="21" customHeight="1">
      <c r="B25" s="135"/>
      <c r="C25" s="124"/>
      <c r="D25" s="138"/>
      <c r="E25" s="27" t="s">
        <v>38</v>
      </c>
      <c r="F25" s="76" t="s">
        <v>19</v>
      </c>
    </row>
    <row r="26" spans="2:10" s="5" customFormat="1" ht="21" customHeight="1">
      <c r="B26" s="136"/>
      <c r="C26" s="125"/>
      <c r="D26" s="139"/>
      <c r="E26" s="27" t="s">
        <v>39</v>
      </c>
      <c r="F26" s="76" t="s">
        <v>19</v>
      </c>
    </row>
    <row r="27" spans="2:10" s="5" customFormat="1" ht="21" customHeight="1">
      <c r="B27" s="144" t="s">
        <v>40</v>
      </c>
      <c r="C27" s="142" t="s">
        <v>41</v>
      </c>
      <c r="D27" s="142" t="s">
        <v>42</v>
      </c>
      <c r="E27" s="22" t="s">
        <v>43</v>
      </c>
      <c r="F27" s="75" t="s">
        <v>19</v>
      </c>
    </row>
    <row r="28" spans="2:10" s="5" customFormat="1" ht="21" customHeight="1">
      <c r="B28" s="135"/>
      <c r="C28" s="124"/>
      <c r="D28" s="124"/>
      <c r="E28" s="22" t="s">
        <v>44</v>
      </c>
      <c r="F28" s="75" t="s">
        <v>19</v>
      </c>
    </row>
    <row r="29" spans="2:10" s="5" customFormat="1" ht="21" customHeight="1">
      <c r="B29" s="135"/>
      <c r="C29" s="124"/>
      <c r="D29" s="124"/>
      <c r="E29" s="22" t="s">
        <v>45</v>
      </c>
      <c r="F29" s="75" t="s">
        <v>19</v>
      </c>
    </row>
    <row r="30" spans="2:10" s="5" customFormat="1" ht="21" customHeight="1">
      <c r="B30" s="135"/>
      <c r="C30" s="124"/>
      <c r="D30" s="124"/>
      <c r="E30" s="22" t="s">
        <v>46</v>
      </c>
      <c r="F30" s="75" t="s">
        <v>24</v>
      </c>
    </row>
    <row r="31" spans="2:10" s="5" customFormat="1" ht="21" customHeight="1">
      <c r="B31" s="136"/>
      <c r="C31" s="125"/>
      <c r="D31" s="125"/>
      <c r="E31" s="23" t="s">
        <v>47</v>
      </c>
      <c r="F31" s="75" t="s">
        <v>24</v>
      </c>
    </row>
    <row r="32" spans="2:10" s="5" customFormat="1" ht="21" customHeight="1">
      <c r="B32" s="134" t="s">
        <v>48</v>
      </c>
      <c r="C32" s="123" t="s">
        <v>49</v>
      </c>
      <c r="D32" s="145" t="s">
        <v>50</v>
      </c>
      <c r="E32" s="28" t="s">
        <v>51</v>
      </c>
      <c r="F32" s="76" t="s">
        <v>24</v>
      </c>
    </row>
    <row r="33" spans="2:6" s="5" customFormat="1" ht="21" customHeight="1">
      <c r="B33" s="135"/>
      <c r="C33" s="124"/>
      <c r="D33" s="124"/>
      <c r="E33" s="29" t="s">
        <v>52</v>
      </c>
      <c r="F33" s="76" t="s">
        <v>24</v>
      </c>
    </row>
    <row r="34" spans="2:6" ht="21.6" customHeight="1" thickBot="1">
      <c r="B34" s="136"/>
      <c r="C34" s="125"/>
      <c r="D34" s="146"/>
      <c r="E34" s="77" t="s">
        <v>53</v>
      </c>
      <c r="F34" s="78" t="s">
        <v>24</v>
      </c>
    </row>
  </sheetData>
  <sheetProtection algorithmName="SHA-512" hashValue="42naQjLyGnbB6gbxZ5ji6aE+MEaD5acUSRJsBE9DBnjS2UbnVqblKXyKAWzalzZ24Ycjchv1zGoieptung6Mog==" saltValue="Iz2BAbkjCX+yvL7uvpuq+g==" spinCount="100000" sheet="1" objects="1" scenarios="1" selectLockedCells="1" selectUnlockedCells="1"/>
  <mergeCells count="22">
    <mergeCell ref="B7:C7"/>
    <mergeCell ref="B3:C3"/>
    <mergeCell ref="B16:B21"/>
    <mergeCell ref="B13:D13"/>
    <mergeCell ref="C27:C31"/>
    <mergeCell ref="B4:C4"/>
    <mergeCell ref="C32:C34"/>
    <mergeCell ref="B2:C2"/>
    <mergeCell ref="C16:C21"/>
    <mergeCell ref="I15:L15"/>
    <mergeCell ref="B14:F14"/>
    <mergeCell ref="B32:B34"/>
    <mergeCell ref="D22:D26"/>
    <mergeCell ref="B10:C10"/>
    <mergeCell ref="D16:D21"/>
    <mergeCell ref="B22:B26"/>
    <mergeCell ref="B9:C9"/>
    <mergeCell ref="B27:B31"/>
    <mergeCell ref="D32:D34"/>
    <mergeCell ref="B6:C6"/>
    <mergeCell ref="D27:D31"/>
    <mergeCell ref="C22:C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G12" sqref="G12:J12"/>
    </sheetView>
  </sheetViews>
  <sheetFormatPr defaultColWidth="11.3984375" defaultRowHeight="15.75" customHeight="1"/>
  <cols>
    <col min="1" max="1" width="2.3984375" style="30" customWidth="1"/>
    <col min="2" max="10" width="11.3984375" style="30" customWidth="1"/>
    <col min="11" max="11" width="2.3984375" style="30" customWidth="1"/>
    <col min="12" max="12" width="11.3984375" style="30" customWidth="1"/>
    <col min="13" max="16384" width="11.3984375" style="30"/>
  </cols>
  <sheetData>
    <row r="1" spans="1:11" ht="6.6" customHeight="1" thickBo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7.6" customHeight="1">
      <c r="A2" s="31"/>
      <c r="B2" s="32"/>
      <c r="C2" s="33"/>
      <c r="D2" s="34"/>
      <c r="E2" s="148" t="s">
        <v>54</v>
      </c>
      <c r="F2" s="149"/>
      <c r="G2" s="149"/>
      <c r="H2" s="33"/>
      <c r="I2" s="33"/>
      <c r="J2" s="35"/>
      <c r="K2" s="31"/>
    </row>
    <row r="3" spans="1:11" ht="28.2" customHeight="1" thickBot="1">
      <c r="A3" s="31"/>
      <c r="B3" s="36"/>
      <c r="C3" s="37"/>
      <c r="D3" s="38"/>
      <c r="E3" s="150"/>
      <c r="F3" s="150"/>
      <c r="G3" s="150"/>
      <c r="H3" s="37"/>
      <c r="I3" s="37"/>
      <c r="J3" s="39"/>
      <c r="K3" s="31"/>
    </row>
    <row r="4" spans="1:11" ht="18" customHeight="1" thickBo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ht="18" customHeight="1" thickBot="1">
      <c r="A5" s="31"/>
      <c r="B5" s="40" t="s">
        <v>55</v>
      </c>
      <c r="C5" s="41" t="s">
        <v>56</v>
      </c>
      <c r="D5" s="163" t="s">
        <v>57</v>
      </c>
      <c r="E5" s="130"/>
      <c r="F5" s="164"/>
      <c r="G5" s="159" t="s">
        <v>58</v>
      </c>
      <c r="H5" s="130"/>
      <c r="I5" s="130"/>
      <c r="J5" s="133"/>
      <c r="K5" s="31"/>
    </row>
    <row r="6" spans="1:11" ht="17.399999999999999" customHeight="1">
      <c r="A6" s="31"/>
      <c r="B6" s="84"/>
      <c r="C6" s="90">
        <v>46213</v>
      </c>
      <c r="D6" s="156" t="s">
        <v>59</v>
      </c>
      <c r="E6" s="157"/>
      <c r="F6" s="158"/>
      <c r="G6" s="165" t="s">
        <v>60</v>
      </c>
      <c r="H6" s="157"/>
      <c r="I6" s="157"/>
      <c r="J6" s="166"/>
      <c r="K6" s="31"/>
    </row>
    <row r="7" spans="1:11" ht="17.399999999999999" customHeight="1">
      <c r="A7" s="31"/>
      <c r="B7" s="85"/>
      <c r="C7" s="90">
        <v>46214</v>
      </c>
      <c r="D7" s="156" t="s">
        <v>59</v>
      </c>
      <c r="E7" s="157"/>
      <c r="F7" s="158"/>
      <c r="G7" s="154" t="s">
        <v>477</v>
      </c>
      <c r="H7" s="152"/>
      <c r="I7" s="152"/>
      <c r="J7" s="155"/>
      <c r="K7" s="31"/>
    </row>
    <row r="8" spans="1:11" ht="17.399999999999999" customHeight="1">
      <c r="A8" s="31"/>
      <c r="B8" s="85"/>
      <c r="C8" s="90">
        <v>46215</v>
      </c>
      <c r="D8" s="156" t="s">
        <v>59</v>
      </c>
      <c r="E8" s="157"/>
      <c r="F8" s="158"/>
      <c r="G8" s="154" t="s">
        <v>465</v>
      </c>
      <c r="H8" s="152"/>
      <c r="I8" s="152"/>
      <c r="J8" s="155"/>
      <c r="K8" s="31"/>
    </row>
    <row r="9" spans="1:11" ht="17.399999999999999" customHeight="1">
      <c r="A9" s="31"/>
      <c r="B9" s="85"/>
      <c r="C9" s="90">
        <v>46216</v>
      </c>
      <c r="D9" s="156" t="s">
        <v>59</v>
      </c>
      <c r="E9" s="157"/>
      <c r="F9" s="158"/>
      <c r="G9" s="91" t="s">
        <v>464</v>
      </c>
      <c r="H9" s="92"/>
      <c r="I9" s="92"/>
      <c r="J9" s="93"/>
      <c r="K9" s="31"/>
    </row>
    <row r="10" spans="1:11" ht="17.399999999999999" customHeight="1">
      <c r="A10" s="31"/>
      <c r="B10" s="85"/>
      <c r="C10" s="90">
        <v>46217</v>
      </c>
      <c r="D10" s="156" t="s">
        <v>59</v>
      </c>
      <c r="E10" s="157"/>
      <c r="F10" s="158"/>
      <c r="G10" s="91" t="s">
        <v>466</v>
      </c>
      <c r="H10" s="92"/>
      <c r="I10" s="92"/>
      <c r="J10" s="93"/>
      <c r="K10" s="31"/>
    </row>
    <row r="11" spans="1:11" ht="17.399999999999999" customHeight="1">
      <c r="A11" s="31"/>
      <c r="B11" s="85"/>
      <c r="C11" s="90">
        <v>46218</v>
      </c>
      <c r="D11" s="156" t="s">
        <v>59</v>
      </c>
      <c r="E11" s="157"/>
      <c r="F11" s="158"/>
      <c r="G11" s="154"/>
      <c r="H11" s="152"/>
      <c r="I11" s="152"/>
      <c r="J11" s="155"/>
      <c r="K11" s="31"/>
    </row>
    <row r="12" spans="1:11" ht="17.399999999999999" customHeight="1">
      <c r="A12" s="31"/>
      <c r="B12" s="85"/>
      <c r="C12" s="94"/>
      <c r="D12" s="151"/>
      <c r="E12" s="152"/>
      <c r="F12" s="153"/>
      <c r="G12" s="154"/>
      <c r="H12" s="152"/>
      <c r="I12" s="152"/>
      <c r="J12" s="155"/>
      <c r="K12" s="31"/>
    </row>
    <row r="13" spans="1:11" ht="17.399999999999999" customHeight="1">
      <c r="A13" s="31"/>
      <c r="B13" s="85"/>
      <c r="C13" s="94"/>
      <c r="D13" s="151"/>
      <c r="E13" s="152"/>
      <c r="F13" s="153"/>
      <c r="G13" s="154"/>
      <c r="H13" s="152"/>
      <c r="I13" s="152"/>
      <c r="J13" s="155"/>
      <c r="K13" s="31"/>
    </row>
    <row r="14" spans="1:11" ht="17.399999999999999" customHeight="1">
      <c r="A14" s="31"/>
      <c r="B14" s="85"/>
      <c r="C14" s="94"/>
      <c r="D14" s="151"/>
      <c r="E14" s="152"/>
      <c r="F14" s="153"/>
      <c r="G14" s="154"/>
      <c r="H14" s="152"/>
      <c r="I14" s="152"/>
      <c r="J14" s="155"/>
      <c r="K14" s="31"/>
    </row>
    <row r="15" spans="1:11" ht="17.399999999999999" customHeight="1">
      <c r="A15" s="31"/>
      <c r="B15" s="85"/>
      <c r="C15" s="94"/>
      <c r="D15" s="151"/>
      <c r="E15" s="152"/>
      <c r="F15" s="153"/>
      <c r="G15" s="154"/>
      <c r="H15" s="152"/>
      <c r="I15" s="152"/>
      <c r="J15" s="155"/>
      <c r="K15" s="31"/>
    </row>
    <row r="16" spans="1:11" ht="17.399999999999999" customHeight="1">
      <c r="A16" s="31"/>
      <c r="B16" s="85"/>
      <c r="C16" s="94"/>
      <c r="D16" s="151"/>
      <c r="E16" s="152"/>
      <c r="F16" s="153"/>
      <c r="G16" s="154"/>
      <c r="H16" s="152"/>
      <c r="I16" s="152"/>
      <c r="J16" s="155"/>
      <c r="K16" s="31"/>
    </row>
    <row r="17" spans="1:11" ht="17.399999999999999" customHeight="1">
      <c r="A17" s="31"/>
      <c r="B17" s="85"/>
      <c r="C17" s="94"/>
      <c r="D17" s="151"/>
      <c r="E17" s="152"/>
      <c r="F17" s="153"/>
      <c r="G17" s="154"/>
      <c r="H17" s="152"/>
      <c r="I17" s="152"/>
      <c r="J17" s="155"/>
      <c r="K17" s="31"/>
    </row>
    <row r="18" spans="1:11" ht="17.399999999999999" customHeight="1">
      <c r="A18" s="31"/>
      <c r="B18" s="85"/>
      <c r="C18" s="94"/>
      <c r="D18" s="151"/>
      <c r="E18" s="152"/>
      <c r="F18" s="153"/>
      <c r="G18" s="154"/>
      <c r="H18" s="152"/>
      <c r="I18" s="152"/>
      <c r="J18" s="155"/>
      <c r="K18" s="31"/>
    </row>
    <row r="19" spans="1:11" ht="17.399999999999999" customHeight="1">
      <c r="A19" s="31"/>
      <c r="B19" s="85"/>
      <c r="C19" s="94"/>
      <c r="D19" s="151"/>
      <c r="E19" s="152"/>
      <c r="F19" s="153"/>
      <c r="G19" s="154"/>
      <c r="H19" s="152"/>
      <c r="I19" s="152"/>
      <c r="J19" s="155"/>
      <c r="K19" s="31"/>
    </row>
    <row r="20" spans="1:11" ht="17.399999999999999" customHeight="1">
      <c r="A20" s="31"/>
      <c r="B20" s="85"/>
      <c r="C20" s="94"/>
      <c r="D20" s="151"/>
      <c r="E20" s="152"/>
      <c r="F20" s="153"/>
      <c r="G20" s="154"/>
      <c r="H20" s="152"/>
      <c r="I20" s="152"/>
      <c r="J20" s="155"/>
      <c r="K20" s="31"/>
    </row>
    <row r="21" spans="1:11" ht="17.399999999999999" customHeight="1">
      <c r="A21" s="31"/>
      <c r="B21" s="85"/>
      <c r="C21" s="94"/>
      <c r="D21" s="151"/>
      <c r="E21" s="152"/>
      <c r="F21" s="153"/>
      <c r="G21" s="154"/>
      <c r="H21" s="152"/>
      <c r="I21" s="152"/>
      <c r="J21" s="155"/>
      <c r="K21" s="31"/>
    </row>
    <row r="22" spans="1:11" ht="17.399999999999999" customHeight="1">
      <c r="A22" s="31"/>
      <c r="B22" s="85"/>
      <c r="C22" s="94"/>
      <c r="D22" s="151"/>
      <c r="E22" s="152"/>
      <c r="F22" s="153"/>
      <c r="G22" s="154"/>
      <c r="H22" s="152"/>
      <c r="I22" s="152"/>
      <c r="J22" s="155"/>
      <c r="K22" s="31"/>
    </row>
    <row r="23" spans="1:11" ht="17.399999999999999" customHeight="1">
      <c r="A23" s="31"/>
      <c r="B23" s="85"/>
      <c r="C23" s="94"/>
      <c r="D23" s="151"/>
      <c r="E23" s="152"/>
      <c r="F23" s="153"/>
      <c r="G23" s="154"/>
      <c r="H23" s="152"/>
      <c r="I23" s="152"/>
      <c r="J23" s="155"/>
      <c r="K23" s="31"/>
    </row>
    <row r="24" spans="1:11" ht="17.399999999999999" customHeight="1">
      <c r="A24" s="31"/>
      <c r="B24" s="85"/>
      <c r="C24" s="94"/>
      <c r="D24" s="151"/>
      <c r="E24" s="152"/>
      <c r="F24" s="153"/>
      <c r="G24" s="154"/>
      <c r="H24" s="152"/>
      <c r="I24" s="152"/>
      <c r="J24" s="155"/>
      <c r="K24" s="31"/>
    </row>
    <row r="25" spans="1:11" ht="17.399999999999999" customHeight="1">
      <c r="A25" s="31"/>
      <c r="B25" s="85"/>
      <c r="C25" s="94"/>
      <c r="D25" s="151"/>
      <c r="E25" s="152"/>
      <c r="F25" s="153"/>
      <c r="G25" s="154"/>
      <c r="H25" s="152"/>
      <c r="I25" s="152"/>
      <c r="J25" s="155"/>
      <c r="K25" s="31"/>
    </row>
    <row r="26" spans="1:11" ht="17.399999999999999" customHeight="1">
      <c r="A26" s="31"/>
      <c r="B26" s="85"/>
      <c r="C26" s="94"/>
      <c r="D26" s="151"/>
      <c r="E26" s="152"/>
      <c r="F26" s="153"/>
      <c r="G26" s="154"/>
      <c r="H26" s="152"/>
      <c r="I26" s="152"/>
      <c r="J26" s="155"/>
      <c r="K26" s="31"/>
    </row>
    <row r="27" spans="1:11" ht="17.399999999999999" customHeight="1">
      <c r="A27" s="31"/>
      <c r="B27" s="85"/>
      <c r="C27" s="94"/>
      <c r="D27" s="151"/>
      <c r="E27" s="152"/>
      <c r="F27" s="153"/>
      <c r="G27" s="154"/>
      <c r="H27" s="152"/>
      <c r="I27" s="152"/>
      <c r="J27" s="155"/>
      <c r="K27" s="31"/>
    </row>
    <row r="28" spans="1:11" ht="17.399999999999999" customHeight="1">
      <c r="A28" s="31"/>
      <c r="B28" s="85"/>
      <c r="C28" s="94"/>
      <c r="D28" s="151"/>
      <c r="E28" s="152"/>
      <c r="F28" s="153"/>
      <c r="G28" s="154"/>
      <c r="H28" s="152"/>
      <c r="I28" s="152"/>
      <c r="J28" s="155"/>
      <c r="K28" s="31"/>
    </row>
    <row r="29" spans="1:11" ht="17.399999999999999" customHeight="1">
      <c r="A29" s="31"/>
      <c r="B29" s="85"/>
      <c r="C29" s="94"/>
      <c r="D29" s="151"/>
      <c r="E29" s="152"/>
      <c r="F29" s="153"/>
      <c r="G29" s="154"/>
      <c r="H29" s="152"/>
      <c r="I29" s="152"/>
      <c r="J29" s="155"/>
      <c r="K29" s="31"/>
    </row>
    <row r="30" spans="1:11" ht="17.399999999999999" customHeight="1">
      <c r="A30" s="31"/>
      <c r="B30" s="85"/>
      <c r="C30" s="94"/>
      <c r="D30" s="151"/>
      <c r="E30" s="152"/>
      <c r="F30" s="153"/>
      <c r="G30" s="154"/>
      <c r="H30" s="152"/>
      <c r="I30" s="152"/>
      <c r="J30" s="155"/>
      <c r="K30" s="31"/>
    </row>
    <row r="31" spans="1:11" ht="17.399999999999999" customHeight="1">
      <c r="A31" s="31"/>
      <c r="B31" s="85"/>
      <c r="C31" s="94"/>
      <c r="D31" s="151"/>
      <c r="E31" s="152"/>
      <c r="F31" s="153"/>
      <c r="G31" s="154"/>
      <c r="H31" s="152"/>
      <c r="I31" s="152"/>
      <c r="J31" s="155"/>
      <c r="K31" s="31"/>
    </row>
    <row r="32" spans="1:11" ht="17.399999999999999" customHeight="1">
      <c r="A32" s="31"/>
      <c r="B32" s="85"/>
      <c r="C32" s="94"/>
      <c r="D32" s="151"/>
      <c r="E32" s="152"/>
      <c r="F32" s="153"/>
      <c r="G32" s="154"/>
      <c r="H32" s="152"/>
      <c r="I32" s="152"/>
      <c r="J32" s="155"/>
      <c r="K32" s="31"/>
    </row>
    <row r="33" spans="1:11" ht="17.399999999999999" customHeight="1">
      <c r="A33" s="31"/>
      <c r="B33" s="85"/>
      <c r="C33" s="94"/>
      <c r="D33" s="151"/>
      <c r="E33" s="152"/>
      <c r="F33" s="153"/>
      <c r="G33" s="154"/>
      <c r="H33" s="152"/>
      <c r="I33" s="152"/>
      <c r="J33" s="155"/>
      <c r="K33" s="31"/>
    </row>
    <row r="34" spans="1:11" ht="17.399999999999999" customHeight="1">
      <c r="A34" s="31"/>
      <c r="B34" s="85"/>
      <c r="C34" s="94"/>
      <c r="D34" s="151"/>
      <c r="E34" s="152"/>
      <c r="F34" s="153"/>
      <c r="G34" s="154"/>
      <c r="H34" s="152"/>
      <c r="I34" s="152"/>
      <c r="J34" s="155"/>
      <c r="K34" s="31"/>
    </row>
    <row r="35" spans="1:11" ht="18" customHeight="1" thickBot="1">
      <c r="A35" s="31"/>
      <c r="B35" s="86"/>
      <c r="C35" s="95"/>
      <c r="D35" s="160"/>
      <c r="E35" s="161"/>
      <c r="F35" s="162"/>
      <c r="G35" s="167"/>
      <c r="H35" s="161"/>
      <c r="I35" s="161"/>
      <c r="J35" s="168"/>
      <c r="K35" s="31"/>
    </row>
    <row r="36" spans="1:11" ht="17.399999999999999" customHeight="1"/>
    <row r="37" spans="1:11" ht="17.399999999999999" customHeight="1"/>
  </sheetData>
  <sheetProtection algorithmName="SHA-512" hashValue="arnRM7hSeKxZ2I6EaHDGNLWVd6u63b4EWhimTOIyMf0bA992X25xrsve26knBobQJVX8okYODyccptR15mxkug==" saltValue="cv7asFVV7S8eQruVoBPE9A==" spinCount="100000" sheet="1" objects="1" scenarios="1" selectLockedCells="1" selectUnlockedCells="1"/>
  <mergeCells count="61">
    <mergeCell ref="G35:J35"/>
    <mergeCell ref="D32:F32"/>
    <mergeCell ref="G20:J20"/>
    <mergeCell ref="G29:J29"/>
    <mergeCell ref="D17:F17"/>
    <mergeCell ref="G25:J25"/>
    <mergeCell ref="G27:J27"/>
    <mergeCell ref="D30:F30"/>
    <mergeCell ref="D33:F33"/>
    <mergeCell ref="D24:F24"/>
    <mergeCell ref="D9:F9"/>
    <mergeCell ref="G21:J21"/>
    <mergeCell ref="G11:J11"/>
    <mergeCell ref="D8:F8"/>
    <mergeCell ref="D25:F25"/>
    <mergeCell ref="D15:F15"/>
    <mergeCell ref="D13:F13"/>
    <mergeCell ref="D11:F11"/>
    <mergeCell ref="G16:J16"/>
    <mergeCell ref="D14:F14"/>
    <mergeCell ref="G32:J32"/>
    <mergeCell ref="G22:J22"/>
    <mergeCell ref="D28:F28"/>
    <mergeCell ref="G31:J31"/>
    <mergeCell ref="G12:J12"/>
    <mergeCell ref="D12:F12"/>
    <mergeCell ref="D18:F18"/>
    <mergeCell ref="D27:F27"/>
    <mergeCell ref="G26:J26"/>
    <mergeCell ref="D35:F35"/>
    <mergeCell ref="G7:J7"/>
    <mergeCell ref="D26:F26"/>
    <mergeCell ref="D20:F20"/>
    <mergeCell ref="G19:J19"/>
    <mergeCell ref="D34:F34"/>
    <mergeCell ref="D10:F10"/>
    <mergeCell ref="G28:J28"/>
    <mergeCell ref="G13:J13"/>
    <mergeCell ref="D19:F19"/>
    <mergeCell ref="G18:J18"/>
    <mergeCell ref="D29:F29"/>
    <mergeCell ref="G17:J17"/>
    <mergeCell ref="D23:F23"/>
    <mergeCell ref="G8:J8"/>
    <mergeCell ref="G23:J23"/>
    <mergeCell ref="E2:G3"/>
    <mergeCell ref="D31:F31"/>
    <mergeCell ref="D22:F22"/>
    <mergeCell ref="G34:J34"/>
    <mergeCell ref="G24:J24"/>
    <mergeCell ref="G30:J30"/>
    <mergeCell ref="G15:J15"/>
    <mergeCell ref="G33:J33"/>
    <mergeCell ref="D21:F21"/>
    <mergeCell ref="D6:F6"/>
    <mergeCell ref="G5:J5"/>
    <mergeCell ref="G14:J14"/>
    <mergeCell ref="D5:F5"/>
    <mergeCell ref="G6:J6"/>
    <mergeCell ref="D7:F7"/>
    <mergeCell ref="D16:F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J44"/>
  <sheetViews>
    <sheetView topLeftCell="A6" zoomScale="55" zoomScaleNormal="55" workbookViewId="0">
      <selection activeCell="T32" sqref="T32"/>
    </sheetView>
  </sheetViews>
  <sheetFormatPr defaultRowHeight="17.399999999999999"/>
  <cols>
    <col min="2" max="2" width="7" style="30" bestFit="1" customWidth="1"/>
    <col min="3" max="3" width="12.59765625" style="30" bestFit="1" customWidth="1"/>
    <col min="4" max="4" width="17.59765625" style="30" bestFit="1" customWidth="1"/>
    <col min="5" max="5" width="28.69921875" style="30" bestFit="1" customWidth="1"/>
    <col min="6" max="6" width="35.5" style="30" bestFit="1" customWidth="1"/>
    <col min="7" max="8" width="25" style="30" bestFit="1" customWidth="1"/>
    <col min="9" max="9" width="9.19921875" style="30" bestFit="1" customWidth="1"/>
    <col min="10" max="10" width="5.09765625" style="30" bestFit="1" customWidth="1"/>
  </cols>
  <sheetData>
    <row r="4" spans="2:10" ht="24" customHeight="1">
      <c r="B4" s="169" t="s">
        <v>61</v>
      </c>
      <c r="C4" s="127"/>
      <c r="D4" s="127"/>
      <c r="E4" s="127"/>
      <c r="F4" s="127"/>
      <c r="G4" s="127"/>
      <c r="H4" s="127"/>
      <c r="I4" s="127"/>
      <c r="J4" s="127"/>
    </row>
    <row r="5" spans="2:10"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1" t="s">
        <v>69</v>
      </c>
      <c r="J5" s="3" t="s">
        <v>70</v>
      </c>
    </row>
    <row r="6" spans="2:10">
      <c r="B6" s="6" t="s">
        <v>32</v>
      </c>
      <c r="C6" s="6" t="s">
        <v>71</v>
      </c>
      <c r="D6" s="6" t="s">
        <v>72</v>
      </c>
      <c r="E6" s="9" t="s">
        <v>73</v>
      </c>
      <c r="F6" s="6" t="s">
        <v>74</v>
      </c>
      <c r="G6" s="6" t="s">
        <v>75</v>
      </c>
      <c r="H6" s="6" t="s">
        <v>75</v>
      </c>
      <c r="I6" s="6" t="s">
        <v>76</v>
      </c>
      <c r="J6" s="10" t="s">
        <v>77</v>
      </c>
    </row>
    <row r="7" spans="2:10">
      <c r="B7" s="6" t="s">
        <v>32</v>
      </c>
      <c r="C7" s="6" t="s">
        <v>78</v>
      </c>
      <c r="D7" s="6" t="s">
        <v>72</v>
      </c>
      <c r="E7" s="6" t="s">
        <v>79</v>
      </c>
      <c r="F7" s="6" t="s">
        <v>74</v>
      </c>
      <c r="G7" s="6" t="s">
        <v>80</v>
      </c>
      <c r="H7" s="6" t="s">
        <v>80</v>
      </c>
      <c r="I7" s="6" t="s">
        <v>76</v>
      </c>
      <c r="J7" s="10" t="s">
        <v>77</v>
      </c>
    </row>
    <row r="8" spans="2:10">
      <c r="B8" s="6" t="s">
        <v>32</v>
      </c>
      <c r="C8" s="6" t="s">
        <v>81</v>
      </c>
      <c r="D8" s="6" t="s">
        <v>72</v>
      </c>
      <c r="E8" s="6" t="s">
        <v>82</v>
      </c>
      <c r="F8" s="6" t="s">
        <v>74</v>
      </c>
      <c r="G8" s="6" t="s">
        <v>83</v>
      </c>
      <c r="H8" s="6" t="s">
        <v>83</v>
      </c>
      <c r="I8" s="6" t="s">
        <v>76</v>
      </c>
      <c r="J8" s="10" t="s">
        <v>77</v>
      </c>
    </row>
    <row r="9" spans="2:10">
      <c r="B9" s="6" t="s">
        <v>32</v>
      </c>
      <c r="C9" s="6" t="s">
        <v>84</v>
      </c>
      <c r="D9" s="6" t="s">
        <v>72</v>
      </c>
      <c r="E9" s="6" t="s">
        <v>85</v>
      </c>
      <c r="F9" s="6" t="s">
        <v>74</v>
      </c>
      <c r="G9" s="6" t="s">
        <v>86</v>
      </c>
      <c r="H9" s="6" t="s">
        <v>86</v>
      </c>
      <c r="I9" s="6" t="s">
        <v>87</v>
      </c>
      <c r="J9" s="10" t="s">
        <v>77</v>
      </c>
    </row>
    <row r="10" spans="2:10">
      <c r="B10" s="6" t="s">
        <v>32</v>
      </c>
      <c r="C10" s="6" t="s">
        <v>88</v>
      </c>
      <c r="D10" s="6" t="s">
        <v>72</v>
      </c>
      <c r="E10" s="6" t="s">
        <v>89</v>
      </c>
      <c r="F10" s="6" t="s">
        <v>74</v>
      </c>
      <c r="G10" s="6" t="s">
        <v>90</v>
      </c>
      <c r="H10" s="6" t="s">
        <v>90</v>
      </c>
      <c r="I10" s="6" t="s">
        <v>87</v>
      </c>
      <c r="J10" s="10" t="s">
        <v>77</v>
      </c>
    </row>
    <row r="11" spans="2:10">
      <c r="B11" s="7" t="s">
        <v>15</v>
      </c>
      <c r="C11" s="7" t="s">
        <v>91</v>
      </c>
      <c r="D11" s="7" t="s">
        <v>92</v>
      </c>
      <c r="E11" s="7" t="s">
        <v>93</v>
      </c>
      <c r="F11" s="7" t="s">
        <v>94</v>
      </c>
      <c r="G11" s="7" t="s">
        <v>95</v>
      </c>
      <c r="H11" s="7" t="s">
        <v>96</v>
      </c>
      <c r="I11" s="7" t="s">
        <v>76</v>
      </c>
      <c r="J11" s="8" t="s">
        <v>77</v>
      </c>
    </row>
    <row r="12" spans="2:10">
      <c r="B12" s="7" t="s">
        <v>15</v>
      </c>
      <c r="C12" s="7" t="s">
        <v>97</v>
      </c>
      <c r="D12" s="7" t="s">
        <v>92</v>
      </c>
      <c r="E12" s="7" t="s">
        <v>98</v>
      </c>
      <c r="F12" s="7" t="s">
        <v>99</v>
      </c>
      <c r="G12" s="7" t="s">
        <v>95</v>
      </c>
      <c r="H12" s="7" t="s">
        <v>96</v>
      </c>
      <c r="I12" s="7" t="s">
        <v>76</v>
      </c>
      <c r="J12" s="8" t="s">
        <v>77</v>
      </c>
    </row>
    <row r="13" spans="2:10">
      <c r="B13" s="7" t="s">
        <v>15</v>
      </c>
      <c r="C13" s="7" t="s">
        <v>100</v>
      </c>
      <c r="D13" s="7" t="s">
        <v>92</v>
      </c>
      <c r="E13" s="7" t="s">
        <v>101</v>
      </c>
      <c r="F13" s="7" t="s">
        <v>102</v>
      </c>
      <c r="G13" s="7" t="s">
        <v>95</v>
      </c>
      <c r="H13" s="7" t="s">
        <v>96</v>
      </c>
      <c r="I13" s="7" t="s">
        <v>76</v>
      </c>
      <c r="J13" s="8" t="s">
        <v>77</v>
      </c>
    </row>
    <row r="14" spans="2:10">
      <c r="B14" s="7" t="s">
        <v>15</v>
      </c>
      <c r="C14" s="7" t="s">
        <v>103</v>
      </c>
      <c r="D14" s="7" t="s">
        <v>92</v>
      </c>
      <c r="E14" s="7" t="s">
        <v>104</v>
      </c>
      <c r="F14" s="7" t="s">
        <v>105</v>
      </c>
      <c r="G14" s="7" t="s">
        <v>95</v>
      </c>
      <c r="H14" s="7" t="s">
        <v>96</v>
      </c>
      <c r="I14" s="7" t="s">
        <v>76</v>
      </c>
      <c r="J14" s="8" t="s">
        <v>77</v>
      </c>
    </row>
    <row r="15" spans="2:10">
      <c r="B15" s="7" t="s">
        <v>15</v>
      </c>
      <c r="C15" s="7" t="s">
        <v>106</v>
      </c>
      <c r="D15" s="7" t="s">
        <v>92</v>
      </c>
      <c r="E15" s="7" t="s">
        <v>107</v>
      </c>
      <c r="F15" s="7" t="s">
        <v>108</v>
      </c>
      <c r="G15" s="7" t="s">
        <v>95</v>
      </c>
      <c r="H15" s="7" t="s">
        <v>96</v>
      </c>
      <c r="I15" s="7" t="s">
        <v>76</v>
      </c>
      <c r="J15" s="8" t="s">
        <v>77</v>
      </c>
    </row>
    <row r="16" spans="2:10">
      <c r="B16" s="7" t="s">
        <v>15</v>
      </c>
      <c r="C16" s="7" t="s">
        <v>109</v>
      </c>
      <c r="D16" s="7" t="s">
        <v>92</v>
      </c>
      <c r="E16" s="7" t="s">
        <v>110</v>
      </c>
      <c r="F16" s="7" t="s">
        <v>111</v>
      </c>
      <c r="G16" s="7" t="s">
        <v>95</v>
      </c>
      <c r="H16" s="7" t="s">
        <v>96</v>
      </c>
      <c r="I16" s="7" t="s">
        <v>76</v>
      </c>
      <c r="J16" s="8" t="s">
        <v>77</v>
      </c>
    </row>
    <row r="17" spans="2:10">
      <c r="B17" s="7" t="s">
        <v>15</v>
      </c>
      <c r="C17" s="7" t="s">
        <v>112</v>
      </c>
      <c r="D17" s="7" t="s">
        <v>92</v>
      </c>
      <c r="E17" s="7" t="s">
        <v>113</v>
      </c>
      <c r="F17" s="7" t="s">
        <v>114</v>
      </c>
      <c r="G17" s="7" t="s">
        <v>95</v>
      </c>
      <c r="H17" s="7" t="s">
        <v>96</v>
      </c>
      <c r="I17" s="7" t="s">
        <v>76</v>
      </c>
      <c r="J17" s="8" t="s">
        <v>77</v>
      </c>
    </row>
    <row r="18" spans="2:10">
      <c r="B18" s="7" t="s">
        <v>15</v>
      </c>
      <c r="C18" s="7" t="s">
        <v>115</v>
      </c>
      <c r="D18" s="7" t="s">
        <v>92</v>
      </c>
      <c r="E18" s="7" t="s">
        <v>116</v>
      </c>
      <c r="F18" s="7" t="s">
        <v>94</v>
      </c>
      <c r="G18" s="7" t="s">
        <v>117</v>
      </c>
      <c r="H18" s="7" t="s">
        <v>117</v>
      </c>
      <c r="I18" s="7" t="s">
        <v>87</v>
      </c>
      <c r="J18" s="8" t="s">
        <v>77</v>
      </c>
    </row>
    <row r="19" spans="2:10">
      <c r="B19" s="16" t="s">
        <v>118</v>
      </c>
      <c r="C19" s="16" t="s">
        <v>119</v>
      </c>
      <c r="D19" s="16" t="s">
        <v>120</v>
      </c>
      <c r="E19" s="16" t="s">
        <v>121</v>
      </c>
      <c r="F19" s="16" t="s">
        <v>122</v>
      </c>
      <c r="G19" s="16" t="s">
        <v>123</v>
      </c>
      <c r="H19" s="16" t="s">
        <v>123</v>
      </c>
      <c r="I19" s="16" t="s">
        <v>76</v>
      </c>
      <c r="J19" s="17" t="s">
        <v>77</v>
      </c>
    </row>
    <row r="20" spans="2:10">
      <c r="B20" s="16" t="s">
        <v>118</v>
      </c>
      <c r="C20" s="16" t="s">
        <v>124</v>
      </c>
      <c r="D20" s="16" t="s">
        <v>120</v>
      </c>
      <c r="E20" s="16" t="s">
        <v>125</v>
      </c>
      <c r="F20" s="16" t="s">
        <v>126</v>
      </c>
      <c r="G20" s="16" t="s">
        <v>123</v>
      </c>
      <c r="H20" s="16" t="s">
        <v>123</v>
      </c>
      <c r="I20" s="16" t="s">
        <v>76</v>
      </c>
      <c r="J20" s="17" t="s">
        <v>77</v>
      </c>
    </row>
    <row r="21" spans="2:10">
      <c r="B21" s="16" t="s">
        <v>118</v>
      </c>
      <c r="C21" s="16" t="s">
        <v>127</v>
      </c>
      <c r="D21" s="16" t="s">
        <v>120</v>
      </c>
      <c r="E21" s="16" t="s">
        <v>128</v>
      </c>
      <c r="F21" s="16" t="s">
        <v>129</v>
      </c>
      <c r="G21" s="16" t="s">
        <v>123</v>
      </c>
      <c r="H21" s="16" t="s">
        <v>123</v>
      </c>
      <c r="I21" s="16" t="s">
        <v>76</v>
      </c>
      <c r="J21" s="17" t="s">
        <v>77</v>
      </c>
    </row>
    <row r="22" spans="2:10">
      <c r="B22" s="16" t="s">
        <v>118</v>
      </c>
      <c r="C22" s="16" t="s">
        <v>130</v>
      </c>
      <c r="D22" s="16" t="s">
        <v>120</v>
      </c>
      <c r="E22" s="16" t="s">
        <v>131</v>
      </c>
      <c r="F22" s="16" t="s">
        <v>132</v>
      </c>
      <c r="G22" s="16" t="s">
        <v>123</v>
      </c>
      <c r="H22" s="16" t="s">
        <v>123</v>
      </c>
      <c r="I22" s="16" t="s">
        <v>76</v>
      </c>
      <c r="J22" s="17" t="s">
        <v>77</v>
      </c>
    </row>
    <row r="23" spans="2:10">
      <c r="B23" s="16" t="s">
        <v>118</v>
      </c>
      <c r="C23" s="16" t="s">
        <v>133</v>
      </c>
      <c r="D23" s="16" t="s">
        <v>120</v>
      </c>
      <c r="E23" s="16" t="s">
        <v>134</v>
      </c>
      <c r="F23" s="16" t="s">
        <v>135</v>
      </c>
      <c r="G23" s="16" t="s">
        <v>123</v>
      </c>
      <c r="H23" s="16" t="s">
        <v>123</v>
      </c>
      <c r="I23" s="16" t="s">
        <v>76</v>
      </c>
      <c r="J23" s="17" t="s">
        <v>77</v>
      </c>
    </row>
    <row r="24" spans="2:10">
      <c r="B24" s="16" t="s">
        <v>118</v>
      </c>
      <c r="C24" s="16" t="s">
        <v>136</v>
      </c>
      <c r="D24" s="16" t="s">
        <v>120</v>
      </c>
      <c r="E24" s="16" t="s">
        <v>137</v>
      </c>
      <c r="F24" s="16" t="s">
        <v>138</v>
      </c>
      <c r="G24" s="16" t="s">
        <v>123</v>
      </c>
      <c r="H24" s="16" t="s">
        <v>123</v>
      </c>
      <c r="I24" s="16" t="s">
        <v>76</v>
      </c>
      <c r="J24" s="17" t="s">
        <v>77</v>
      </c>
    </row>
    <row r="25" spans="2:10">
      <c r="B25" s="16" t="s">
        <v>118</v>
      </c>
      <c r="C25" s="16" t="s">
        <v>139</v>
      </c>
      <c r="D25" s="16" t="s">
        <v>120</v>
      </c>
      <c r="E25" s="16" t="s">
        <v>140</v>
      </c>
      <c r="F25" s="18" t="s">
        <v>141</v>
      </c>
      <c r="G25" s="16" t="s">
        <v>123</v>
      </c>
      <c r="H25" s="16" t="s">
        <v>123</v>
      </c>
      <c r="I25" s="16" t="s">
        <v>76</v>
      </c>
      <c r="J25" s="17" t="s">
        <v>77</v>
      </c>
    </row>
    <row r="26" spans="2:10">
      <c r="B26" s="16" t="s">
        <v>118</v>
      </c>
      <c r="C26" s="16" t="s">
        <v>142</v>
      </c>
      <c r="D26" s="16" t="s">
        <v>120</v>
      </c>
      <c r="E26" s="16" t="s">
        <v>143</v>
      </c>
      <c r="F26" s="16" t="s">
        <v>144</v>
      </c>
      <c r="G26" s="16" t="s">
        <v>123</v>
      </c>
      <c r="H26" s="16" t="s">
        <v>123</v>
      </c>
      <c r="I26" s="16" t="s">
        <v>76</v>
      </c>
      <c r="J26" s="17" t="s">
        <v>77</v>
      </c>
    </row>
    <row r="27" spans="2:10">
      <c r="B27" s="16" t="s">
        <v>118</v>
      </c>
      <c r="C27" s="16" t="s">
        <v>145</v>
      </c>
      <c r="D27" s="16" t="s">
        <v>120</v>
      </c>
      <c r="E27" s="16" t="s">
        <v>146</v>
      </c>
      <c r="F27" s="16" t="s">
        <v>147</v>
      </c>
      <c r="G27" s="16" t="s">
        <v>123</v>
      </c>
      <c r="H27" s="16" t="s">
        <v>123</v>
      </c>
      <c r="I27" s="16" t="s">
        <v>76</v>
      </c>
      <c r="J27" s="17" t="s">
        <v>77</v>
      </c>
    </row>
    <row r="28" spans="2:10">
      <c r="B28" s="16" t="s">
        <v>118</v>
      </c>
      <c r="C28" s="16" t="s">
        <v>148</v>
      </c>
      <c r="D28" s="16" t="s">
        <v>120</v>
      </c>
      <c r="E28" s="16" t="s">
        <v>149</v>
      </c>
      <c r="F28" s="16" t="s">
        <v>150</v>
      </c>
      <c r="G28" s="16" t="s">
        <v>123</v>
      </c>
      <c r="H28" s="16" t="s">
        <v>123</v>
      </c>
      <c r="I28" s="16" t="s">
        <v>76</v>
      </c>
      <c r="J28" s="17" t="s">
        <v>77</v>
      </c>
    </row>
    <row r="29" spans="2:10">
      <c r="B29" s="19" t="s">
        <v>151</v>
      </c>
      <c r="C29" s="19" t="s">
        <v>152</v>
      </c>
      <c r="D29" s="19" t="s">
        <v>153</v>
      </c>
      <c r="E29" s="19" t="s">
        <v>154</v>
      </c>
      <c r="F29" s="19" t="s">
        <v>74</v>
      </c>
      <c r="G29" s="19" t="s">
        <v>155</v>
      </c>
      <c r="H29" s="19" t="s">
        <v>155</v>
      </c>
      <c r="I29" s="19" t="s">
        <v>76</v>
      </c>
      <c r="J29" s="20" t="s">
        <v>77</v>
      </c>
    </row>
    <row r="30" spans="2:10">
      <c r="B30" s="19" t="s">
        <v>151</v>
      </c>
      <c r="C30" s="19" t="s">
        <v>156</v>
      </c>
      <c r="D30" s="19" t="s">
        <v>153</v>
      </c>
      <c r="E30" s="19" t="s">
        <v>157</v>
      </c>
      <c r="F30" s="19" t="s">
        <v>158</v>
      </c>
      <c r="G30" s="19" t="s">
        <v>159</v>
      </c>
      <c r="H30" s="19" t="s">
        <v>159</v>
      </c>
      <c r="I30" s="19" t="s">
        <v>76</v>
      </c>
      <c r="J30" s="20" t="s">
        <v>77</v>
      </c>
    </row>
    <row r="31" spans="2:10">
      <c r="B31" s="19" t="s">
        <v>151</v>
      </c>
      <c r="C31" s="19" t="s">
        <v>160</v>
      </c>
      <c r="D31" s="19" t="s">
        <v>153</v>
      </c>
      <c r="E31" s="19" t="s">
        <v>161</v>
      </c>
      <c r="F31" s="19" t="s">
        <v>162</v>
      </c>
      <c r="G31" s="19" t="s">
        <v>155</v>
      </c>
      <c r="H31" s="19" t="s">
        <v>155</v>
      </c>
      <c r="I31" s="19" t="s">
        <v>76</v>
      </c>
      <c r="J31" s="20" t="s">
        <v>77</v>
      </c>
    </row>
    <row r="32" spans="2:10">
      <c r="B32" s="19" t="s">
        <v>151</v>
      </c>
      <c r="C32" s="19" t="s">
        <v>163</v>
      </c>
      <c r="D32" s="19" t="s">
        <v>153</v>
      </c>
      <c r="E32" s="19" t="s">
        <v>164</v>
      </c>
      <c r="F32" s="19" t="s">
        <v>165</v>
      </c>
      <c r="G32" s="19" t="s">
        <v>155</v>
      </c>
      <c r="H32" s="19" t="s">
        <v>155</v>
      </c>
      <c r="I32" s="19" t="s">
        <v>76</v>
      </c>
      <c r="J32" s="20" t="s">
        <v>77</v>
      </c>
    </row>
    <row r="33" spans="2:10">
      <c r="B33" s="19" t="s">
        <v>151</v>
      </c>
      <c r="C33" s="19" t="s">
        <v>166</v>
      </c>
      <c r="D33" s="19" t="s">
        <v>153</v>
      </c>
      <c r="E33" s="19" t="s">
        <v>167</v>
      </c>
      <c r="F33" s="19" t="s">
        <v>158</v>
      </c>
      <c r="G33" s="19" t="s">
        <v>168</v>
      </c>
      <c r="H33" s="19" t="s">
        <v>168</v>
      </c>
      <c r="I33" s="19" t="s">
        <v>76</v>
      </c>
      <c r="J33" s="20" t="s">
        <v>77</v>
      </c>
    </row>
    <row r="34" spans="2:10">
      <c r="B34" s="19" t="s">
        <v>151</v>
      </c>
      <c r="C34" s="19" t="s">
        <v>169</v>
      </c>
      <c r="D34" s="19" t="s">
        <v>153</v>
      </c>
      <c r="E34" s="19" t="s">
        <v>170</v>
      </c>
      <c r="F34" s="19" t="s">
        <v>74</v>
      </c>
      <c r="G34" s="19" t="s">
        <v>155</v>
      </c>
      <c r="H34" s="19" t="s">
        <v>155</v>
      </c>
      <c r="I34" s="19" t="s">
        <v>76</v>
      </c>
      <c r="J34" s="20" t="s">
        <v>77</v>
      </c>
    </row>
    <row r="35" spans="2:10">
      <c r="B35" s="19" t="s">
        <v>151</v>
      </c>
      <c r="C35" s="19" t="s">
        <v>171</v>
      </c>
      <c r="D35" s="19" t="s">
        <v>153</v>
      </c>
      <c r="E35" s="19" t="s">
        <v>172</v>
      </c>
      <c r="F35" s="19" t="s">
        <v>74</v>
      </c>
      <c r="G35" s="19" t="s">
        <v>155</v>
      </c>
      <c r="H35" s="19" t="s">
        <v>155</v>
      </c>
      <c r="I35" s="19" t="s">
        <v>76</v>
      </c>
      <c r="J35" s="20" t="s">
        <v>77</v>
      </c>
    </row>
    <row r="36" spans="2:10">
      <c r="B36" s="11" t="s">
        <v>40</v>
      </c>
      <c r="C36" s="11" t="s">
        <v>173</v>
      </c>
      <c r="D36" s="11" t="s">
        <v>174</v>
      </c>
      <c r="E36" s="11" t="s">
        <v>175</v>
      </c>
      <c r="F36" s="11" t="s">
        <v>74</v>
      </c>
      <c r="G36" s="11" t="s">
        <v>176</v>
      </c>
      <c r="H36" s="11" t="s">
        <v>176</v>
      </c>
      <c r="I36" s="11" t="s">
        <v>177</v>
      </c>
      <c r="J36" s="12" t="s">
        <v>77</v>
      </c>
    </row>
    <row r="37" spans="2:10">
      <c r="B37" s="11" t="s">
        <v>40</v>
      </c>
      <c r="C37" s="11" t="s">
        <v>178</v>
      </c>
      <c r="D37" s="11" t="s">
        <v>174</v>
      </c>
      <c r="E37" s="11" t="s">
        <v>179</v>
      </c>
      <c r="F37" s="11" t="s">
        <v>165</v>
      </c>
      <c r="G37" s="11" t="s">
        <v>180</v>
      </c>
      <c r="H37" s="11" t="s">
        <v>180</v>
      </c>
      <c r="I37" s="11" t="s">
        <v>87</v>
      </c>
      <c r="J37" s="12" t="s">
        <v>77</v>
      </c>
    </row>
    <row r="38" spans="2:10">
      <c r="B38" s="11" t="s">
        <v>40</v>
      </c>
      <c r="C38" s="11" t="s">
        <v>181</v>
      </c>
      <c r="D38" s="11" t="s">
        <v>174</v>
      </c>
      <c r="E38" s="11" t="s">
        <v>182</v>
      </c>
      <c r="F38" s="11" t="s">
        <v>74</v>
      </c>
      <c r="G38" s="11" t="s">
        <v>183</v>
      </c>
      <c r="H38" s="11" t="s">
        <v>183</v>
      </c>
      <c r="I38" s="11" t="s">
        <v>177</v>
      </c>
      <c r="J38" s="12" t="s">
        <v>77</v>
      </c>
    </row>
    <row r="39" spans="2:10">
      <c r="B39" s="11" t="s">
        <v>40</v>
      </c>
      <c r="C39" s="11" t="s">
        <v>184</v>
      </c>
      <c r="D39" s="11" t="s">
        <v>174</v>
      </c>
      <c r="E39" s="11" t="s">
        <v>185</v>
      </c>
      <c r="F39" s="11" t="s">
        <v>74</v>
      </c>
      <c r="G39" s="11" t="s">
        <v>186</v>
      </c>
      <c r="H39" s="11" t="s">
        <v>186</v>
      </c>
      <c r="I39" s="11" t="s">
        <v>177</v>
      </c>
      <c r="J39" s="12" t="s">
        <v>77</v>
      </c>
    </row>
    <row r="40" spans="2:10">
      <c r="B40" s="11" t="s">
        <v>40</v>
      </c>
      <c r="C40" s="11" t="s">
        <v>187</v>
      </c>
      <c r="D40" s="11" t="s">
        <v>174</v>
      </c>
      <c r="E40" s="11" t="s">
        <v>188</v>
      </c>
      <c r="F40" s="11" t="s">
        <v>74</v>
      </c>
      <c r="G40" s="11" t="s">
        <v>189</v>
      </c>
      <c r="H40" s="11" t="s">
        <v>189</v>
      </c>
      <c r="I40" s="11" t="s">
        <v>177</v>
      </c>
      <c r="J40" s="12" t="s">
        <v>77</v>
      </c>
    </row>
    <row r="41" spans="2:10">
      <c r="B41" s="13" t="s">
        <v>48</v>
      </c>
      <c r="C41" s="13" t="s">
        <v>190</v>
      </c>
      <c r="D41" s="13" t="s">
        <v>191</v>
      </c>
      <c r="E41" s="13" t="s">
        <v>192</v>
      </c>
      <c r="F41" s="13" t="s">
        <v>74</v>
      </c>
      <c r="G41" s="13" t="s">
        <v>86</v>
      </c>
      <c r="H41" s="13" t="s">
        <v>86</v>
      </c>
      <c r="I41" s="13" t="s">
        <v>87</v>
      </c>
      <c r="J41" s="14" t="s">
        <v>77</v>
      </c>
    </row>
    <row r="42" spans="2:10">
      <c r="B42" s="13" t="s">
        <v>48</v>
      </c>
      <c r="C42" s="13" t="s">
        <v>193</v>
      </c>
      <c r="D42" s="13" t="s">
        <v>191</v>
      </c>
      <c r="E42" s="13" t="s">
        <v>194</v>
      </c>
      <c r="F42" s="13" t="s">
        <v>74</v>
      </c>
      <c r="G42" s="13" t="s">
        <v>117</v>
      </c>
      <c r="H42" s="13" t="s">
        <v>117</v>
      </c>
      <c r="I42" s="13" t="s">
        <v>76</v>
      </c>
      <c r="J42" s="14" t="s">
        <v>77</v>
      </c>
    </row>
    <row r="43" spans="2:10">
      <c r="B43" s="15" t="s">
        <v>48</v>
      </c>
      <c r="C43" s="13" t="s">
        <v>195</v>
      </c>
      <c r="D43" s="15" t="s">
        <v>191</v>
      </c>
      <c r="E43" s="15" t="s">
        <v>196</v>
      </c>
      <c r="F43" s="15" t="s">
        <v>74</v>
      </c>
      <c r="G43" s="15" t="s">
        <v>197</v>
      </c>
      <c r="H43" s="15" t="s">
        <v>117</v>
      </c>
      <c r="I43" s="13" t="s">
        <v>87</v>
      </c>
      <c r="J43" s="14" t="s">
        <v>77</v>
      </c>
    </row>
    <row r="44" spans="2:10">
      <c r="B44" s="13" t="s">
        <v>48</v>
      </c>
      <c r="C44" s="13" t="s">
        <v>198</v>
      </c>
      <c r="D44" s="13" t="s">
        <v>191</v>
      </c>
      <c r="E44" s="13" t="s">
        <v>199</v>
      </c>
      <c r="F44" s="13" t="s">
        <v>94</v>
      </c>
      <c r="G44" s="13" t="s">
        <v>200</v>
      </c>
      <c r="H44" s="13" t="s">
        <v>200</v>
      </c>
      <c r="I44" s="13" t="s">
        <v>87</v>
      </c>
      <c r="J44" s="14" t="s">
        <v>77</v>
      </c>
    </row>
  </sheetData>
  <mergeCells count="1">
    <mergeCell ref="B4:J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8"/>
  <sheetViews>
    <sheetView zoomScale="70" zoomScaleNormal="70" workbookViewId="0">
      <selection activeCell="F21" sqref="F21"/>
    </sheetView>
  </sheetViews>
  <sheetFormatPr defaultColWidth="11.3984375" defaultRowHeight="17.399999999999999"/>
  <cols>
    <col min="1" max="1" width="2.8984375" style="47" customWidth="1"/>
    <col min="2" max="2" width="5.09765625" style="47" customWidth="1"/>
    <col min="3" max="3" width="14.19921875" style="47" customWidth="1"/>
    <col min="4" max="4" width="16.8984375" style="47" customWidth="1"/>
    <col min="5" max="5" width="28.19921875" style="47" customWidth="1"/>
    <col min="6" max="6" width="35.09765625" style="47" customWidth="1"/>
    <col min="7" max="7" width="35.59765625" style="47" customWidth="1"/>
    <col min="8" max="8" width="48.5" style="47" customWidth="1"/>
    <col min="9" max="9" width="11.09765625" style="113" customWidth="1"/>
    <col min="10" max="10" width="29.5" style="47" customWidth="1"/>
    <col min="11" max="11" width="44.5" style="47" customWidth="1"/>
    <col min="12" max="12" width="11.3984375" style="47" customWidth="1"/>
    <col min="13" max="16384" width="11.3984375" style="47"/>
  </cols>
  <sheetData>
    <row r="1" spans="1:12" ht="18" thickBot="1">
      <c r="A1" s="43"/>
      <c r="B1" s="43"/>
      <c r="C1" s="43"/>
      <c r="D1" s="44"/>
      <c r="E1" s="45"/>
      <c r="F1" s="45"/>
      <c r="G1" s="43"/>
      <c r="H1" s="44"/>
      <c r="I1" s="45"/>
      <c r="J1" s="43"/>
      <c r="K1" s="43"/>
    </row>
    <row r="2" spans="1:12" ht="36.6" thickBot="1">
      <c r="A2" s="43"/>
      <c r="B2" s="42" t="s">
        <v>435</v>
      </c>
      <c r="C2" s="42"/>
      <c r="D2" s="42"/>
      <c r="E2" s="42"/>
      <c r="F2" s="42"/>
      <c r="G2" s="42"/>
      <c r="H2" s="42"/>
      <c r="I2" s="107"/>
      <c r="J2" s="42"/>
      <c r="K2" s="42"/>
    </row>
    <row r="3" spans="1:12">
      <c r="A3" s="43"/>
      <c r="B3" s="43"/>
      <c r="C3" s="43"/>
      <c r="D3" s="49"/>
      <c r="E3" s="49"/>
      <c r="F3" s="49"/>
      <c r="H3" s="49"/>
      <c r="I3" s="43"/>
      <c r="J3" s="43"/>
      <c r="K3" s="43"/>
    </row>
    <row r="4" spans="1:12" s="70" customFormat="1">
      <c r="A4" s="43"/>
      <c r="B4" s="50" t="s">
        <v>472</v>
      </c>
      <c r="C4" s="51"/>
      <c r="D4" s="51"/>
      <c r="E4" s="52"/>
      <c r="F4" s="98"/>
      <c r="G4" s="47"/>
      <c r="H4" s="54" t="s">
        <v>224</v>
      </c>
      <c r="I4" s="108"/>
    </row>
    <row r="5" spans="1:12" s="70" customFormat="1" ht="15.6">
      <c r="A5" s="43"/>
      <c r="B5" s="56" t="s">
        <v>471</v>
      </c>
      <c r="C5" s="56"/>
      <c r="D5" s="56"/>
      <c r="E5" s="57"/>
      <c r="F5" s="57"/>
      <c r="H5" s="54" t="s">
        <v>56</v>
      </c>
      <c r="I5" s="109"/>
    </row>
    <row r="6" spans="1:12" s="70" customFormat="1" ht="15.6">
      <c r="A6" s="43"/>
      <c r="B6" s="56" t="s">
        <v>473</v>
      </c>
      <c r="C6" s="56"/>
      <c r="D6" s="56"/>
      <c r="E6" s="57"/>
      <c r="F6" s="57"/>
      <c r="H6" s="54" t="s">
        <v>225</v>
      </c>
      <c r="I6" s="108"/>
    </row>
    <row r="7" spans="1:12" s="70" customFormat="1" ht="15.6">
      <c r="A7" s="43"/>
      <c r="B7" s="56"/>
      <c r="C7" s="56"/>
      <c r="D7" s="56"/>
      <c r="E7" s="57"/>
      <c r="F7" s="57"/>
      <c r="H7" s="54" t="s">
        <v>226</v>
      </c>
      <c r="I7" s="108"/>
    </row>
    <row r="8" spans="1:12" s="70" customFormat="1" ht="15.6">
      <c r="A8" s="43"/>
      <c r="B8" s="56"/>
      <c r="C8" s="56"/>
      <c r="D8" s="56"/>
      <c r="E8" s="57"/>
      <c r="F8" s="57"/>
      <c r="H8" s="89" t="s">
        <v>227</v>
      </c>
      <c r="I8" s="97">
        <f>IFERROR(COUNTIF(I18:I67,"구현")/ROWS(I18:I67),0)</f>
        <v>0.16</v>
      </c>
    </row>
    <row r="9" spans="1:12" s="70" customFormat="1" ht="15.6">
      <c r="A9" s="43"/>
      <c r="B9" s="59"/>
      <c r="C9" s="59"/>
      <c r="D9" s="59"/>
      <c r="E9" s="59"/>
      <c r="F9" s="99"/>
      <c r="H9" s="43"/>
      <c r="I9" s="110"/>
    </row>
    <row r="10" spans="1:12" s="70" customFormat="1" ht="15.6">
      <c r="A10" s="43"/>
      <c r="B10" s="43"/>
      <c r="C10" s="43"/>
      <c r="D10" s="49"/>
      <c r="E10" s="49"/>
      <c r="F10" s="49"/>
      <c r="G10" s="43"/>
      <c r="I10" s="43"/>
    </row>
    <row r="11" spans="1:12">
      <c r="A11" s="43"/>
      <c r="B11" s="53"/>
      <c r="C11" s="53" t="str">
        <f>IFERROR( MID($B$2, FIND("]",$B$2, 1)+1, LEN($B$2)), "타이틀을 작성하세요")</f>
        <v xml:space="preserve"> 로그인</v>
      </c>
      <c r="D11" s="53"/>
      <c r="E11" s="70"/>
      <c r="F11" s="70"/>
      <c r="G11" s="70"/>
      <c r="H11" s="70"/>
      <c r="I11" s="111"/>
      <c r="J11" s="70"/>
      <c r="K11" s="70"/>
    </row>
    <row r="12" spans="1:12">
      <c r="A12" s="43"/>
      <c r="B12" s="44"/>
      <c r="C12" s="44"/>
      <c r="D12" s="44"/>
      <c r="E12" s="70"/>
      <c r="F12" s="70"/>
      <c r="G12" s="70"/>
      <c r="H12" s="70"/>
      <c r="I12" s="111"/>
      <c r="J12" s="70"/>
      <c r="K12" s="70"/>
      <c r="L12" s="70"/>
    </row>
    <row r="13" spans="1:12">
      <c r="A13" s="43"/>
      <c r="B13" s="60"/>
      <c r="C13" s="61"/>
      <c r="D13" s="82" t="s">
        <v>228</v>
      </c>
      <c r="E13" s="83"/>
      <c r="F13" s="83"/>
      <c r="G13" s="83"/>
      <c r="H13" s="83"/>
      <c r="I13" s="112"/>
      <c r="J13" s="83"/>
      <c r="K13" s="83"/>
    </row>
    <row r="14" spans="1:12" s="87" customFormat="1">
      <c r="A14" s="62"/>
      <c r="B14" s="187" t="s">
        <v>229</v>
      </c>
      <c r="C14" s="179" t="s">
        <v>230</v>
      </c>
      <c r="D14" s="179" t="s">
        <v>64</v>
      </c>
      <c r="E14" s="179" t="s">
        <v>231</v>
      </c>
      <c r="F14" s="184" t="s">
        <v>242</v>
      </c>
      <c r="G14" s="179" t="s">
        <v>243</v>
      </c>
      <c r="H14" s="179" t="s">
        <v>232</v>
      </c>
      <c r="I14" s="179" t="s">
        <v>233</v>
      </c>
      <c r="J14" s="179" t="s">
        <v>437</v>
      </c>
      <c r="K14" s="179" t="s">
        <v>235</v>
      </c>
    </row>
    <row r="15" spans="1:12" s="87" customFormat="1">
      <c r="A15" s="62"/>
      <c r="B15" s="188"/>
      <c r="C15" s="180"/>
      <c r="D15" s="180"/>
      <c r="E15" s="180"/>
      <c r="F15" s="185"/>
      <c r="G15" s="180"/>
      <c r="H15" s="180"/>
      <c r="I15" s="182"/>
      <c r="J15" s="180"/>
      <c r="K15" s="180"/>
    </row>
    <row r="16" spans="1:12" s="87" customFormat="1">
      <c r="A16" s="62"/>
      <c r="B16" s="188"/>
      <c r="C16" s="180"/>
      <c r="D16" s="180"/>
      <c r="E16" s="180"/>
      <c r="F16" s="185"/>
      <c r="G16" s="180"/>
      <c r="H16" s="180"/>
      <c r="I16" s="182"/>
      <c r="J16" s="180"/>
      <c r="K16" s="180"/>
    </row>
    <row r="17" spans="1:11" s="87" customFormat="1">
      <c r="A17" s="62"/>
      <c r="B17" s="189"/>
      <c r="C17" s="181"/>
      <c r="D17" s="181"/>
      <c r="E17" s="181"/>
      <c r="F17" s="186"/>
      <c r="G17" s="181"/>
      <c r="H17" s="181"/>
      <c r="I17" s="183"/>
      <c r="J17" s="181"/>
      <c r="K17" s="181"/>
    </row>
    <row r="18" spans="1:11" ht="31.2">
      <c r="A18" s="62"/>
      <c r="B18" s="100">
        <v>1</v>
      </c>
      <c r="C18" s="64" t="s">
        <v>436</v>
      </c>
      <c r="D18" s="170" t="s">
        <v>123</v>
      </c>
      <c r="E18" s="176" t="s">
        <v>250</v>
      </c>
      <c r="F18" s="101" t="s">
        <v>249</v>
      </c>
      <c r="G18" s="101" t="s">
        <v>252</v>
      </c>
      <c r="H18" s="101" t="s">
        <v>246</v>
      </c>
      <c r="I18" s="63" t="s">
        <v>240</v>
      </c>
      <c r="J18" s="106" t="s">
        <v>443</v>
      </c>
      <c r="K18" s="106" t="s">
        <v>247</v>
      </c>
    </row>
    <row r="19" spans="1:11" ht="31.2">
      <c r="A19" s="62"/>
      <c r="B19" s="88">
        <v>2</v>
      </c>
      <c r="C19" s="64" t="s">
        <v>276</v>
      </c>
      <c r="D19" s="171"/>
      <c r="E19" s="177"/>
      <c r="F19" s="101" t="s">
        <v>433</v>
      </c>
      <c r="G19" s="101" t="s">
        <v>434</v>
      </c>
      <c r="H19" s="101" t="s">
        <v>246</v>
      </c>
      <c r="I19" s="63" t="s">
        <v>240</v>
      </c>
      <c r="J19" s="106" t="s">
        <v>442</v>
      </c>
      <c r="K19" s="106" t="s">
        <v>248</v>
      </c>
    </row>
    <row r="20" spans="1:11" ht="31.2">
      <c r="A20" s="62"/>
      <c r="B20" s="88">
        <v>3</v>
      </c>
      <c r="C20" s="64" t="s">
        <v>277</v>
      </c>
      <c r="D20" s="171"/>
      <c r="E20" s="178"/>
      <c r="F20" s="101" t="s">
        <v>256</v>
      </c>
      <c r="G20" s="101" t="s">
        <v>270</v>
      </c>
      <c r="H20" s="64" t="s">
        <v>253</v>
      </c>
      <c r="I20" s="63" t="s">
        <v>240</v>
      </c>
      <c r="J20" s="106" t="s">
        <v>441</v>
      </c>
      <c r="K20" s="106" t="s">
        <v>251</v>
      </c>
    </row>
    <row r="21" spans="1:11" ht="46.8">
      <c r="A21" s="62"/>
      <c r="B21" s="88">
        <v>4</v>
      </c>
      <c r="C21" s="64" t="s">
        <v>278</v>
      </c>
      <c r="D21" s="171"/>
      <c r="E21" s="170" t="s">
        <v>258</v>
      </c>
      <c r="F21" s="101" t="s">
        <v>257</v>
      </c>
      <c r="G21" s="101" t="s">
        <v>260</v>
      </c>
      <c r="H21" s="64" t="s">
        <v>253</v>
      </c>
      <c r="I21" s="63" t="s">
        <v>240</v>
      </c>
      <c r="J21" s="106" t="s">
        <v>440</v>
      </c>
      <c r="K21" s="106" t="s">
        <v>254</v>
      </c>
    </row>
    <row r="22" spans="1:11" ht="46.8">
      <c r="A22" s="62"/>
      <c r="B22" s="88">
        <v>5</v>
      </c>
      <c r="C22" s="64" t="s">
        <v>279</v>
      </c>
      <c r="D22" s="171"/>
      <c r="E22" s="172"/>
      <c r="F22" s="101" t="s">
        <v>259</v>
      </c>
      <c r="G22" s="101" t="s">
        <v>261</v>
      </c>
      <c r="H22" s="64" t="s">
        <v>253</v>
      </c>
      <c r="I22" s="63" t="s">
        <v>240</v>
      </c>
      <c r="J22" s="106" t="s">
        <v>439</v>
      </c>
      <c r="K22" s="106" t="s">
        <v>255</v>
      </c>
    </row>
    <row r="23" spans="1:11" ht="46.8" customHeight="1">
      <c r="A23" s="62"/>
      <c r="B23" s="88">
        <v>6</v>
      </c>
      <c r="C23" s="64" t="s">
        <v>280</v>
      </c>
      <c r="D23" s="171"/>
      <c r="E23" s="176" t="s">
        <v>262</v>
      </c>
      <c r="F23" s="64" t="s">
        <v>263</v>
      </c>
      <c r="G23" s="101" t="s">
        <v>265</v>
      </c>
      <c r="H23" s="64" t="s">
        <v>253</v>
      </c>
      <c r="I23" s="63" t="s">
        <v>240</v>
      </c>
      <c r="J23" s="106" t="s">
        <v>438</v>
      </c>
      <c r="K23" s="173" t="s">
        <v>431</v>
      </c>
    </row>
    <row r="24" spans="1:11" ht="46.8">
      <c r="A24" s="62"/>
      <c r="B24" s="88">
        <v>7</v>
      </c>
      <c r="C24" s="64" t="s">
        <v>281</v>
      </c>
      <c r="D24" s="171"/>
      <c r="E24" s="178"/>
      <c r="F24" s="101" t="s">
        <v>264</v>
      </c>
      <c r="G24" s="101" t="s">
        <v>266</v>
      </c>
      <c r="H24" s="64" t="s">
        <v>253</v>
      </c>
      <c r="I24" s="63" t="s">
        <v>240</v>
      </c>
      <c r="J24" s="106" t="s">
        <v>461</v>
      </c>
      <c r="K24" s="174"/>
    </row>
    <row r="25" spans="1:11" ht="31.2">
      <c r="A25" s="62"/>
      <c r="B25" s="88">
        <v>8</v>
      </c>
      <c r="C25" s="64" t="s">
        <v>282</v>
      </c>
      <c r="D25" s="170" t="s">
        <v>245</v>
      </c>
      <c r="E25" s="64" t="s">
        <v>423</v>
      </c>
      <c r="F25" s="64" t="s">
        <v>269</v>
      </c>
      <c r="G25" s="101" t="s">
        <v>268</v>
      </c>
      <c r="H25" s="64" t="s">
        <v>267</v>
      </c>
      <c r="I25" s="63" t="s">
        <v>240</v>
      </c>
      <c r="J25" s="106" t="s">
        <v>483</v>
      </c>
      <c r="K25" s="175"/>
    </row>
    <row r="26" spans="1:11" ht="31.2">
      <c r="A26" s="62"/>
      <c r="B26" s="88">
        <v>9</v>
      </c>
      <c r="C26" s="64" t="s">
        <v>283</v>
      </c>
      <c r="D26" s="171"/>
      <c r="E26" s="170" t="s">
        <v>432</v>
      </c>
      <c r="F26" s="101" t="s">
        <v>428</v>
      </c>
      <c r="G26" s="101" t="s">
        <v>427</v>
      </c>
      <c r="H26" s="101" t="s">
        <v>424</v>
      </c>
      <c r="I26" s="63" t="s">
        <v>239</v>
      </c>
      <c r="J26" s="106"/>
      <c r="K26" s="106"/>
    </row>
    <row r="27" spans="1:11" ht="31.2">
      <c r="A27" s="62"/>
      <c r="B27" s="88">
        <v>10</v>
      </c>
      <c r="C27" s="64" t="s">
        <v>284</v>
      </c>
      <c r="D27" s="171"/>
      <c r="E27" s="171"/>
      <c r="F27" s="101" t="s">
        <v>429</v>
      </c>
      <c r="G27" s="101" t="s">
        <v>427</v>
      </c>
      <c r="H27" s="64" t="s">
        <v>425</v>
      </c>
      <c r="I27" s="63" t="s">
        <v>239</v>
      </c>
      <c r="J27" s="65"/>
      <c r="K27" s="106"/>
    </row>
    <row r="28" spans="1:11" ht="31.2">
      <c r="A28" s="62"/>
      <c r="B28" s="88">
        <v>11</v>
      </c>
      <c r="C28" s="64" t="s">
        <v>285</v>
      </c>
      <c r="D28" s="172"/>
      <c r="E28" s="172"/>
      <c r="F28" s="101" t="s">
        <v>430</v>
      </c>
      <c r="G28" s="101" t="s">
        <v>427</v>
      </c>
      <c r="H28" s="64" t="s">
        <v>426</v>
      </c>
      <c r="I28" s="63" t="s">
        <v>239</v>
      </c>
      <c r="J28" s="65"/>
      <c r="K28" s="106"/>
    </row>
    <row r="29" spans="1:11">
      <c r="A29" s="62"/>
      <c r="B29" s="88">
        <v>12</v>
      </c>
      <c r="C29" s="64" t="s">
        <v>286</v>
      </c>
      <c r="D29" s="64"/>
      <c r="E29" s="64"/>
      <c r="F29" s="64"/>
      <c r="G29" s="64"/>
      <c r="H29" s="64"/>
      <c r="I29" s="63"/>
      <c r="J29" s="65"/>
      <c r="K29" s="106"/>
    </row>
    <row r="30" spans="1:11">
      <c r="A30" s="62"/>
      <c r="B30" s="88">
        <v>13</v>
      </c>
      <c r="C30" s="64" t="s">
        <v>287</v>
      </c>
      <c r="D30" s="64"/>
      <c r="E30" s="64"/>
      <c r="F30" s="64"/>
      <c r="G30" s="64"/>
      <c r="H30" s="64"/>
      <c r="I30" s="63"/>
      <c r="J30" s="65"/>
      <c r="K30" s="106"/>
    </row>
    <row r="31" spans="1:11">
      <c r="A31" s="62"/>
      <c r="B31" s="88">
        <v>14</v>
      </c>
      <c r="C31" s="64" t="s">
        <v>288</v>
      </c>
      <c r="D31" s="64"/>
      <c r="E31" s="64"/>
      <c r="F31" s="64"/>
      <c r="G31" s="64"/>
      <c r="H31" s="64"/>
      <c r="I31" s="63"/>
      <c r="J31" s="65"/>
      <c r="K31" s="106"/>
    </row>
    <row r="32" spans="1:11">
      <c r="A32" s="62"/>
      <c r="B32" s="88">
        <v>15</v>
      </c>
      <c r="C32" s="64" t="s">
        <v>289</v>
      </c>
      <c r="D32" s="64"/>
      <c r="E32" s="64"/>
      <c r="F32" s="64"/>
      <c r="G32" s="64"/>
      <c r="H32" s="64"/>
      <c r="I32" s="63"/>
      <c r="J32" s="65"/>
      <c r="K32" s="106"/>
    </row>
    <row r="33" spans="1:11">
      <c r="A33" s="62"/>
      <c r="B33" s="88">
        <v>16</v>
      </c>
      <c r="C33" s="64" t="s">
        <v>290</v>
      </c>
      <c r="D33" s="64"/>
      <c r="E33" s="64"/>
      <c r="F33" s="64"/>
      <c r="G33" s="64"/>
      <c r="H33" s="64"/>
      <c r="I33" s="63"/>
      <c r="J33" s="65"/>
      <c r="K33" s="106"/>
    </row>
    <row r="34" spans="1:11">
      <c r="A34" s="62"/>
      <c r="B34" s="88">
        <v>17</v>
      </c>
      <c r="C34" s="64" t="s">
        <v>291</v>
      </c>
      <c r="D34" s="64"/>
      <c r="E34" s="64"/>
      <c r="F34" s="64"/>
      <c r="G34" s="64"/>
      <c r="H34" s="64"/>
      <c r="I34" s="63"/>
      <c r="J34" s="65"/>
      <c r="K34" s="106"/>
    </row>
    <row r="35" spans="1:11">
      <c r="A35" s="62"/>
      <c r="B35" s="88">
        <v>18</v>
      </c>
      <c r="C35" s="64" t="s">
        <v>292</v>
      </c>
      <c r="D35" s="64"/>
      <c r="E35" s="64"/>
      <c r="F35" s="64"/>
      <c r="G35" s="64"/>
      <c r="H35" s="64"/>
      <c r="I35" s="63"/>
      <c r="J35" s="65"/>
      <c r="K35" s="106"/>
    </row>
    <row r="36" spans="1:11">
      <c r="A36" s="62"/>
      <c r="B36" s="88">
        <v>19</v>
      </c>
      <c r="C36" s="64" t="s">
        <v>293</v>
      </c>
      <c r="D36" s="64"/>
      <c r="E36" s="64"/>
      <c r="F36" s="64"/>
      <c r="G36" s="64"/>
      <c r="H36" s="64"/>
      <c r="I36" s="63"/>
      <c r="J36" s="65"/>
      <c r="K36" s="106"/>
    </row>
    <row r="37" spans="1:11">
      <c r="A37" s="62"/>
      <c r="B37" s="88">
        <v>20</v>
      </c>
      <c r="C37" s="64" t="s">
        <v>294</v>
      </c>
      <c r="D37" s="64"/>
      <c r="E37" s="64"/>
      <c r="F37" s="64"/>
      <c r="G37" s="64"/>
      <c r="H37" s="64"/>
      <c r="I37" s="63"/>
      <c r="J37" s="65"/>
      <c r="K37" s="106"/>
    </row>
    <row r="38" spans="1:11">
      <c r="A38" s="62"/>
      <c r="B38" s="88">
        <v>21</v>
      </c>
      <c r="C38" s="64" t="s">
        <v>295</v>
      </c>
      <c r="D38" s="64"/>
      <c r="E38" s="64"/>
      <c r="F38" s="64"/>
      <c r="G38" s="64"/>
      <c r="H38" s="64"/>
      <c r="I38" s="63"/>
      <c r="J38" s="65"/>
      <c r="K38" s="106"/>
    </row>
    <row r="39" spans="1:11">
      <c r="A39" s="62"/>
      <c r="B39" s="88">
        <v>22</v>
      </c>
      <c r="C39" s="64" t="s">
        <v>296</v>
      </c>
      <c r="D39" s="64"/>
      <c r="E39" s="64"/>
      <c r="F39" s="64"/>
      <c r="G39" s="64"/>
      <c r="H39" s="64"/>
      <c r="I39" s="63"/>
      <c r="J39" s="65"/>
      <c r="K39" s="106"/>
    </row>
    <row r="40" spans="1:11">
      <c r="A40" s="62"/>
      <c r="B40" s="88">
        <v>23</v>
      </c>
      <c r="C40" s="64" t="s">
        <v>297</v>
      </c>
      <c r="D40" s="64"/>
      <c r="E40" s="64"/>
      <c r="F40" s="64"/>
      <c r="G40" s="64"/>
      <c r="H40" s="64"/>
      <c r="I40" s="63"/>
      <c r="J40" s="65"/>
      <c r="K40" s="106"/>
    </row>
    <row r="41" spans="1:11">
      <c r="A41" s="62"/>
      <c r="B41" s="88">
        <v>24</v>
      </c>
      <c r="C41" s="64" t="s">
        <v>298</v>
      </c>
      <c r="D41" s="64"/>
      <c r="E41" s="64"/>
      <c r="F41" s="64"/>
      <c r="G41" s="64"/>
      <c r="H41" s="64"/>
      <c r="I41" s="63"/>
      <c r="J41" s="65"/>
      <c r="K41" s="106"/>
    </row>
    <row r="42" spans="1:11">
      <c r="A42" s="62"/>
      <c r="B42" s="88">
        <v>25</v>
      </c>
      <c r="C42" s="64" t="s">
        <v>299</v>
      </c>
      <c r="D42" s="64"/>
      <c r="E42" s="64"/>
      <c r="F42" s="64"/>
      <c r="G42" s="64"/>
      <c r="H42" s="64"/>
      <c r="I42" s="63"/>
      <c r="J42" s="65"/>
      <c r="K42" s="106"/>
    </row>
    <row r="43" spans="1:11">
      <c r="A43" s="62"/>
      <c r="B43" s="88">
        <v>26</v>
      </c>
      <c r="C43" s="64" t="s">
        <v>300</v>
      </c>
      <c r="D43" s="64"/>
      <c r="E43" s="64"/>
      <c r="F43" s="64"/>
      <c r="G43" s="64"/>
      <c r="H43" s="64"/>
      <c r="I43" s="63"/>
      <c r="J43" s="65"/>
      <c r="K43" s="106"/>
    </row>
    <row r="44" spans="1:11">
      <c r="A44" s="62"/>
      <c r="B44" s="88">
        <v>27</v>
      </c>
      <c r="C44" s="64" t="s">
        <v>301</v>
      </c>
      <c r="D44" s="64"/>
      <c r="E44" s="64"/>
      <c r="F44" s="64"/>
      <c r="G44" s="64"/>
      <c r="H44" s="64"/>
      <c r="I44" s="63"/>
      <c r="J44" s="65"/>
      <c r="K44" s="106"/>
    </row>
    <row r="45" spans="1:11">
      <c r="A45" s="62"/>
      <c r="B45" s="88">
        <v>28</v>
      </c>
      <c r="C45" s="64" t="s">
        <v>302</v>
      </c>
      <c r="D45" s="64"/>
      <c r="E45" s="64"/>
      <c r="F45" s="64"/>
      <c r="G45" s="64"/>
      <c r="H45" s="64"/>
      <c r="I45" s="63"/>
      <c r="J45" s="65"/>
      <c r="K45" s="106"/>
    </row>
    <row r="46" spans="1:11">
      <c r="A46" s="62"/>
      <c r="B46" s="88">
        <v>29</v>
      </c>
      <c r="C46" s="64" t="s">
        <v>303</v>
      </c>
      <c r="D46" s="64"/>
      <c r="E46" s="64"/>
      <c r="F46" s="64"/>
      <c r="G46" s="64"/>
      <c r="H46" s="64"/>
      <c r="I46" s="63"/>
      <c r="J46" s="65"/>
      <c r="K46" s="106"/>
    </row>
    <row r="47" spans="1:11">
      <c r="A47" s="62"/>
      <c r="B47" s="88">
        <v>30</v>
      </c>
      <c r="C47" s="64" t="s">
        <v>304</v>
      </c>
      <c r="D47" s="64"/>
      <c r="E47" s="64"/>
      <c r="F47" s="64"/>
      <c r="G47" s="64"/>
      <c r="H47" s="64"/>
      <c r="I47" s="63"/>
      <c r="J47" s="65"/>
      <c r="K47" s="106"/>
    </row>
    <row r="48" spans="1:11">
      <c r="A48" s="62"/>
      <c r="B48" s="88">
        <v>31</v>
      </c>
      <c r="C48" s="64" t="s">
        <v>305</v>
      </c>
      <c r="D48" s="64"/>
      <c r="E48" s="64"/>
      <c r="F48" s="64"/>
      <c r="G48" s="64"/>
      <c r="H48" s="64"/>
      <c r="I48" s="63"/>
      <c r="J48" s="65"/>
      <c r="K48" s="106"/>
    </row>
    <row r="49" spans="1:11">
      <c r="A49" s="62"/>
      <c r="B49" s="88">
        <v>32</v>
      </c>
      <c r="C49" s="64" t="s">
        <v>306</v>
      </c>
      <c r="D49" s="64"/>
      <c r="E49" s="64"/>
      <c r="F49" s="64"/>
      <c r="G49" s="64"/>
      <c r="H49" s="64"/>
      <c r="I49" s="63"/>
      <c r="J49" s="65"/>
      <c r="K49" s="106"/>
    </row>
    <row r="50" spans="1:11">
      <c r="A50" s="62"/>
      <c r="B50" s="88">
        <v>33</v>
      </c>
      <c r="C50" s="64" t="s">
        <v>307</v>
      </c>
      <c r="D50" s="64"/>
      <c r="E50" s="64"/>
      <c r="F50" s="64"/>
      <c r="G50" s="64"/>
      <c r="H50" s="64"/>
      <c r="I50" s="63"/>
      <c r="J50" s="65"/>
      <c r="K50" s="106"/>
    </row>
    <row r="51" spans="1:11">
      <c r="A51" s="62"/>
      <c r="B51" s="88">
        <v>34</v>
      </c>
      <c r="C51" s="64" t="s">
        <v>308</v>
      </c>
      <c r="D51" s="64"/>
      <c r="E51" s="64"/>
      <c r="F51" s="64"/>
      <c r="G51" s="64"/>
      <c r="H51" s="64"/>
      <c r="I51" s="63"/>
      <c r="J51" s="65"/>
      <c r="K51" s="106"/>
    </row>
    <row r="52" spans="1:11">
      <c r="A52" s="62"/>
      <c r="B52" s="88">
        <v>35</v>
      </c>
      <c r="C52" s="64" t="s">
        <v>309</v>
      </c>
      <c r="D52" s="64"/>
      <c r="E52" s="64"/>
      <c r="F52" s="64"/>
      <c r="G52" s="64"/>
      <c r="H52" s="64"/>
      <c r="I52" s="63"/>
      <c r="J52" s="65"/>
      <c r="K52" s="106"/>
    </row>
    <row r="53" spans="1:11">
      <c r="A53" s="62"/>
      <c r="B53" s="88">
        <v>36</v>
      </c>
      <c r="C53" s="64" t="s">
        <v>310</v>
      </c>
      <c r="D53" s="64"/>
      <c r="E53" s="64"/>
      <c r="F53" s="64"/>
      <c r="G53" s="64"/>
      <c r="H53" s="64"/>
      <c r="I53" s="63"/>
      <c r="J53" s="65"/>
      <c r="K53" s="106"/>
    </row>
    <row r="54" spans="1:11">
      <c r="A54" s="62"/>
      <c r="B54" s="88">
        <v>37</v>
      </c>
      <c r="C54" s="64" t="s">
        <v>311</v>
      </c>
      <c r="D54" s="64"/>
      <c r="E54" s="64"/>
      <c r="F54" s="64"/>
      <c r="G54" s="64"/>
      <c r="H54" s="64"/>
      <c r="I54" s="63"/>
      <c r="J54" s="65"/>
      <c r="K54" s="106"/>
    </row>
    <row r="55" spans="1:11">
      <c r="A55" s="62"/>
      <c r="B55" s="88">
        <v>38</v>
      </c>
      <c r="C55" s="64" t="s">
        <v>312</v>
      </c>
      <c r="D55" s="64"/>
      <c r="E55" s="64"/>
      <c r="F55" s="64"/>
      <c r="G55" s="64"/>
      <c r="H55" s="64"/>
      <c r="I55" s="63"/>
      <c r="J55" s="65"/>
      <c r="K55" s="106"/>
    </row>
    <row r="56" spans="1:11">
      <c r="A56" s="62"/>
      <c r="B56" s="88">
        <v>39</v>
      </c>
      <c r="C56" s="64" t="s">
        <v>313</v>
      </c>
      <c r="D56" s="64"/>
      <c r="E56" s="64"/>
      <c r="F56" s="64"/>
      <c r="G56" s="64"/>
      <c r="H56" s="64"/>
      <c r="I56" s="63"/>
      <c r="J56" s="65"/>
      <c r="K56" s="106"/>
    </row>
    <row r="57" spans="1:11">
      <c r="A57" s="62"/>
      <c r="B57" s="88">
        <v>40</v>
      </c>
      <c r="C57" s="64" t="s">
        <v>314</v>
      </c>
      <c r="D57" s="64"/>
      <c r="E57" s="64"/>
      <c r="F57" s="64"/>
      <c r="G57" s="64"/>
      <c r="H57" s="64"/>
      <c r="I57" s="63"/>
      <c r="J57" s="65"/>
      <c r="K57" s="106"/>
    </row>
    <row r="58" spans="1:11">
      <c r="A58" s="62"/>
      <c r="B58" s="88">
        <v>41</v>
      </c>
      <c r="C58" s="64" t="s">
        <v>315</v>
      </c>
      <c r="D58" s="64"/>
      <c r="E58" s="64"/>
      <c r="F58" s="64"/>
      <c r="G58" s="64"/>
      <c r="H58" s="64"/>
      <c r="I58" s="63"/>
      <c r="J58" s="65"/>
      <c r="K58" s="106"/>
    </row>
    <row r="59" spans="1:11">
      <c r="A59" s="62"/>
      <c r="B59" s="88">
        <v>42</v>
      </c>
      <c r="C59" s="64" t="s">
        <v>316</v>
      </c>
      <c r="D59" s="64"/>
      <c r="E59" s="64"/>
      <c r="F59" s="64"/>
      <c r="G59" s="64"/>
      <c r="H59" s="64"/>
      <c r="I59" s="63"/>
      <c r="J59" s="65"/>
      <c r="K59" s="106"/>
    </row>
    <row r="60" spans="1:11">
      <c r="A60" s="62"/>
      <c r="B60" s="88">
        <v>43</v>
      </c>
      <c r="C60" s="64" t="s">
        <v>317</v>
      </c>
      <c r="D60" s="64"/>
      <c r="E60" s="64"/>
      <c r="F60" s="64"/>
      <c r="G60" s="64"/>
      <c r="H60" s="64"/>
      <c r="I60" s="63"/>
      <c r="J60" s="65"/>
      <c r="K60" s="106"/>
    </row>
    <row r="61" spans="1:11">
      <c r="A61" s="62"/>
      <c r="B61" s="88">
        <v>44</v>
      </c>
      <c r="C61" s="64" t="s">
        <v>318</v>
      </c>
      <c r="D61" s="64"/>
      <c r="E61" s="64"/>
      <c r="F61" s="64"/>
      <c r="G61" s="64"/>
      <c r="H61" s="64"/>
      <c r="I61" s="63"/>
      <c r="J61" s="65"/>
      <c r="K61" s="106"/>
    </row>
    <row r="62" spans="1:11">
      <c r="A62" s="62"/>
      <c r="B62" s="88">
        <v>45</v>
      </c>
      <c r="C62" s="64" t="s">
        <v>319</v>
      </c>
      <c r="D62" s="64"/>
      <c r="E62" s="64"/>
      <c r="F62" s="64"/>
      <c r="G62" s="64"/>
      <c r="H62" s="64"/>
      <c r="I62" s="63"/>
      <c r="J62" s="65"/>
      <c r="K62" s="106"/>
    </row>
    <row r="63" spans="1:11">
      <c r="A63" s="62"/>
      <c r="B63" s="88">
        <v>46</v>
      </c>
      <c r="C63" s="64" t="s">
        <v>320</v>
      </c>
      <c r="D63" s="64"/>
      <c r="E63" s="64"/>
      <c r="F63" s="64"/>
      <c r="G63" s="64"/>
      <c r="H63" s="64"/>
      <c r="I63" s="63"/>
      <c r="J63" s="65"/>
      <c r="K63" s="106"/>
    </row>
    <row r="64" spans="1:11">
      <c r="A64" s="62"/>
      <c r="B64" s="88">
        <v>47</v>
      </c>
      <c r="C64" s="64" t="s">
        <v>321</v>
      </c>
      <c r="D64" s="64"/>
      <c r="E64" s="64"/>
      <c r="F64" s="64"/>
      <c r="G64" s="64"/>
      <c r="H64" s="64"/>
      <c r="I64" s="63"/>
      <c r="J64" s="65"/>
      <c r="K64" s="106"/>
    </row>
    <row r="65" spans="1:11">
      <c r="A65" s="62"/>
      <c r="B65" s="100">
        <v>48</v>
      </c>
      <c r="C65" s="64" t="s">
        <v>322</v>
      </c>
      <c r="D65" s="64"/>
      <c r="E65" s="64"/>
      <c r="F65" s="64"/>
      <c r="G65" s="64"/>
      <c r="H65" s="64"/>
      <c r="I65" s="63"/>
      <c r="J65" s="65"/>
      <c r="K65" s="65"/>
    </row>
    <row r="66" spans="1:11">
      <c r="A66" s="62"/>
      <c r="B66" s="100">
        <v>49</v>
      </c>
      <c r="C66" s="64" t="s">
        <v>323</v>
      </c>
      <c r="D66" s="64"/>
      <c r="E66" s="64"/>
      <c r="F66" s="64"/>
      <c r="G66" s="64"/>
      <c r="H66" s="64"/>
      <c r="I66" s="63"/>
      <c r="J66" s="65"/>
      <c r="K66" s="65"/>
    </row>
    <row r="67" spans="1:11">
      <c r="A67" s="62"/>
      <c r="B67" s="100">
        <v>50</v>
      </c>
      <c r="C67" s="64" t="s">
        <v>324</v>
      </c>
      <c r="D67" s="64"/>
      <c r="E67" s="64"/>
      <c r="F67" s="64"/>
      <c r="G67" s="64"/>
      <c r="H67" s="64"/>
      <c r="I67" s="63"/>
      <c r="J67" s="65"/>
      <c r="K67" s="65"/>
    </row>
    <row r="68" spans="1:11">
      <c r="A68" s="43"/>
      <c r="B68" s="66" t="s">
        <v>237</v>
      </c>
      <c r="C68" s="67"/>
      <c r="D68" s="67"/>
      <c r="E68" s="67"/>
      <c r="F68" s="67"/>
      <c r="G68" s="67"/>
      <c r="H68" s="67"/>
      <c r="I68" s="68"/>
      <c r="J68" s="69"/>
      <c r="K68" s="69"/>
    </row>
  </sheetData>
  <sheetProtection algorithmName="SHA-512" hashValue="Gk08e86Gv9cOFiAetjcyhzfXrJrR//0nynEuiu+u8jHruGMaPBPuulLgL8JHQXq7+dmFC6LNy2hMCgYg23CRGw==" saltValue="eJxeIMGdC27YXnLNvzNNPA==" spinCount="100000" sheet="1" objects="1" scenarios="1" selectLockedCells="1" selectUnlockedCells="1"/>
  <mergeCells count="17">
    <mergeCell ref="C14:C17"/>
    <mergeCell ref="B14:B17"/>
    <mergeCell ref="D14:D17"/>
    <mergeCell ref="E14:E17"/>
    <mergeCell ref="G14:G17"/>
    <mergeCell ref="H14:H17"/>
    <mergeCell ref="J14:J17"/>
    <mergeCell ref="I14:I17"/>
    <mergeCell ref="K14:K17"/>
    <mergeCell ref="F14:F17"/>
    <mergeCell ref="D18:D24"/>
    <mergeCell ref="E26:E28"/>
    <mergeCell ref="D25:D28"/>
    <mergeCell ref="K23:K25"/>
    <mergeCell ref="E18:E20"/>
    <mergeCell ref="E21:E22"/>
    <mergeCell ref="E23:E24"/>
  </mergeCells>
  <phoneticPr fontId="1" type="noConversion"/>
  <conditionalFormatting sqref="B18:I18 F19:I28 I24:I29 B29:I68 B19:C28 D25:E25 E26">
    <cfRule type="cellIs" dxfId="19" priority="13" operator="equal">
      <formula>#REF!</formula>
    </cfRule>
  </conditionalFormatting>
  <conditionalFormatting sqref="B18:K18 F19:K23 B19:C28 F24:J24 I24:I29 D25:J25 E26 F26:K28 B29:K67">
    <cfRule type="expression" dxfId="18" priority="16">
      <formula>NOT(ISBLANK($D$18:$D$67))</formula>
    </cfRule>
  </conditionalFormatting>
  <conditionalFormatting sqref="E21 E23">
    <cfRule type="cellIs" dxfId="17" priority="1" operator="equal">
      <formula>#REF!</formula>
    </cfRule>
    <cfRule type="expression" dxfId="16" priority="2">
      <formula>NOT(ISBLANK($D$18:$D$67))</formula>
    </cfRule>
  </conditionalFormatting>
  <conditionalFormatting sqref="I18:I67">
    <cfRule type="cellIs" dxfId="15" priority="3" operator="equal">
      <formula>"구현"</formula>
    </cfRule>
    <cfRule type="cellIs" dxfId="14" priority="4" operator="equal">
      <formula>"예정"</formula>
    </cfRule>
    <cfRule type="cellIs" dxfId="13" priority="5" operator="equal">
      <formula>"보류"</formula>
    </cfRule>
  </conditionalFormatting>
  <dataValidations count="1">
    <dataValidation type="list" allowBlank="1" showErrorMessage="1" errorTitle="입력 오류" error="목록(구현/예정/보류) 중에서 선택하세요." sqref="I18:I67" xr:uid="{00000000-0002-0000-0400-000000000000}">
      <formula1>"구현,예정,보류"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B501-5E26-485C-94CA-3E3E008ADDC1}">
  <dimension ref="A1:L81"/>
  <sheetViews>
    <sheetView zoomScale="70" zoomScaleNormal="70" workbookViewId="0">
      <selection activeCell="G7" sqref="G6:G7"/>
    </sheetView>
  </sheetViews>
  <sheetFormatPr defaultColWidth="11.3984375" defaultRowHeight="17.399999999999999"/>
  <cols>
    <col min="1" max="1" width="2.8984375" style="47" customWidth="1"/>
    <col min="2" max="2" width="5.09765625" style="47" customWidth="1"/>
    <col min="3" max="3" width="16.8984375" style="47" customWidth="1"/>
    <col min="4" max="4" width="18.59765625" style="47" customWidth="1"/>
    <col min="5" max="5" width="28.19921875" style="47" customWidth="1"/>
    <col min="6" max="6" width="29.8984375" style="47" customWidth="1"/>
    <col min="7" max="7" width="35" style="47" customWidth="1"/>
    <col min="8" max="8" width="39.69921875" style="47" customWidth="1"/>
    <col min="9" max="9" width="15.09765625" style="116" customWidth="1"/>
    <col min="10" max="10" width="36.5" style="47" customWidth="1"/>
    <col min="11" max="11" width="42.5" style="47" customWidth="1"/>
    <col min="12" max="12" width="11.3984375" style="47" customWidth="1"/>
    <col min="13" max="16384" width="11.3984375" style="47"/>
  </cols>
  <sheetData>
    <row r="1" spans="1:12" ht="18" thickBot="1">
      <c r="A1" s="43"/>
      <c r="B1" s="43"/>
      <c r="C1" s="43"/>
      <c r="D1" s="44"/>
      <c r="E1" s="45"/>
      <c r="F1" s="45"/>
      <c r="G1" s="43"/>
      <c r="H1" s="44"/>
      <c r="I1" s="45"/>
      <c r="J1" s="43"/>
      <c r="K1" s="43"/>
    </row>
    <row r="2" spans="1:12" ht="36.6" thickBot="1">
      <c r="A2" s="43"/>
      <c r="B2" s="42" t="s">
        <v>244</v>
      </c>
      <c r="C2" s="42"/>
      <c r="D2" s="42"/>
      <c r="E2" s="42"/>
      <c r="F2" s="42"/>
      <c r="G2" s="42"/>
      <c r="H2" s="42"/>
      <c r="I2" s="48"/>
      <c r="J2" s="42"/>
      <c r="K2" s="42"/>
    </row>
    <row r="3" spans="1:12">
      <c r="A3" s="43"/>
      <c r="B3" s="43"/>
      <c r="C3" s="43"/>
      <c r="D3" s="49"/>
      <c r="E3" s="49"/>
      <c r="F3" s="49"/>
      <c r="H3" s="49"/>
      <c r="I3" s="43"/>
      <c r="J3" s="43"/>
      <c r="K3" s="43"/>
    </row>
    <row r="4" spans="1:12" s="70" customFormat="1">
      <c r="A4" s="43"/>
      <c r="B4" s="50" t="s">
        <v>223</v>
      </c>
      <c r="C4" s="51"/>
      <c r="D4" s="51"/>
      <c r="E4" s="52"/>
      <c r="F4" s="52"/>
      <c r="G4" s="47"/>
      <c r="H4" s="54" t="s">
        <v>224</v>
      </c>
      <c r="I4" s="58"/>
    </row>
    <row r="5" spans="1:12" s="70" customFormat="1" ht="15.6">
      <c r="A5" s="43"/>
      <c r="B5" s="56" t="s">
        <v>475</v>
      </c>
      <c r="C5" s="56"/>
      <c r="D5" s="56"/>
      <c r="E5" s="57"/>
      <c r="F5" s="57"/>
      <c r="H5" s="54" t="s">
        <v>56</v>
      </c>
      <c r="I5" s="114"/>
    </row>
    <row r="6" spans="1:12" s="70" customFormat="1" ht="15.6">
      <c r="A6" s="43"/>
      <c r="B6" s="56" t="s">
        <v>474</v>
      </c>
      <c r="C6" s="56"/>
      <c r="D6" s="56"/>
      <c r="E6" s="57"/>
      <c r="F6" s="57"/>
      <c r="H6" s="54" t="s">
        <v>225</v>
      </c>
      <c r="I6" s="58"/>
    </row>
    <row r="7" spans="1:12" s="70" customFormat="1" ht="15.6">
      <c r="A7" s="43"/>
      <c r="B7" s="56" t="s">
        <v>476</v>
      </c>
      <c r="C7" s="56"/>
      <c r="D7" s="56"/>
      <c r="E7" s="57"/>
      <c r="F7" s="57"/>
      <c r="H7" s="54" t="s">
        <v>226</v>
      </c>
      <c r="I7" s="58"/>
    </row>
    <row r="8" spans="1:12" s="70" customFormat="1" ht="15.6">
      <c r="A8" s="43"/>
      <c r="B8" s="56"/>
      <c r="C8" s="56"/>
      <c r="D8" s="56"/>
      <c r="E8" s="57"/>
      <c r="F8" s="57"/>
      <c r="H8" s="89" t="s">
        <v>227</v>
      </c>
      <c r="I8" s="97">
        <f>IFERROR(COUNTIF(I18:I67,"구현")/ROWS(I18:I67),0)</f>
        <v>0.04</v>
      </c>
    </row>
    <row r="9" spans="1:12" s="70" customFormat="1" ht="15.6">
      <c r="A9" s="43"/>
      <c r="B9" s="59"/>
      <c r="C9" s="59"/>
      <c r="D9" s="59"/>
      <c r="E9" s="59"/>
      <c r="F9" s="59"/>
      <c r="H9" s="43"/>
      <c r="I9" s="46"/>
    </row>
    <row r="10" spans="1:12" s="70" customFormat="1" ht="15.6">
      <c r="A10" s="43"/>
      <c r="B10" s="43"/>
      <c r="C10" s="43"/>
      <c r="D10" s="49"/>
      <c r="E10" s="49"/>
      <c r="F10" s="49"/>
      <c r="G10" s="43"/>
      <c r="I10" s="43"/>
    </row>
    <row r="11" spans="1:12">
      <c r="A11" s="43"/>
      <c r="B11" s="53"/>
      <c r="C11" s="53" t="str">
        <f>IFERROR( MID($B$2, FIND("]",$B$2, 1)+1, LEN($B$2)), "타이틀을 작성하세요")</f>
        <v xml:space="preserve"> 로그인</v>
      </c>
      <c r="D11" s="53"/>
      <c r="E11" s="70"/>
      <c r="F11" s="70"/>
      <c r="G11" s="70"/>
      <c r="H11" s="70"/>
      <c r="I11" s="115"/>
      <c r="J11" s="70"/>
      <c r="K11" s="70"/>
    </row>
    <row r="12" spans="1:12">
      <c r="A12" s="43"/>
      <c r="B12" s="44"/>
      <c r="C12" s="44"/>
      <c r="D12" s="44"/>
      <c r="E12" s="70"/>
      <c r="F12" s="70"/>
      <c r="G12" s="70"/>
      <c r="H12" s="70"/>
      <c r="I12" s="115"/>
      <c r="J12" s="70"/>
      <c r="K12" s="70"/>
      <c r="L12" s="70"/>
    </row>
    <row r="13" spans="1:12">
      <c r="A13" s="43"/>
      <c r="B13" s="60"/>
      <c r="C13" s="61"/>
      <c r="D13" s="82" t="s">
        <v>228</v>
      </c>
      <c r="E13" s="83"/>
      <c r="F13" s="83"/>
      <c r="G13" s="83"/>
      <c r="H13" s="83"/>
      <c r="I13" s="83"/>
      <c r="J13" s="83"/>
      <c r="K13" s="83"/>
    </row>
    <row r="14" spans="1:12" s="87" customFormat="1">
      <c r="A14" s="62"/>
      <c r="B14" s="187" t="s">
        <v>229</v>
      </c>
      <c r="C14" s="179" t="s">
        <v>238</v>
      </c>
      <c r="D14" s="179" t="s">
        <v>64</v>
      </c>
      <c r="E14" s="179" t="s">
        <v>231</v>
      </c>
      <c r="F14" s="184" t="s">
        <v>242</v>
      </c>
      <c r="G14" s="179" t="s">
        <v>243</v>
      </c>
      <c r="H14" s="179" t="s">
        <v>241</v>
      </c>
      <c r="I14" s="179" t="s">
        <v>233</v>
      </c>
      <c r="J14" s="179" t="s">
        <v>234</v>
      </c>
      <c r="K14" s="179" t="s">
        <v>235</v>
      </c>
    </row>
    <row r="15" spans="1:12" s="87" customFormat="1">
      <c r="A15" s="62"/>
      <c r="B15" s="188"/>
      <c r="C15" s="180"/>
      <c r="D15" s="180"/>
      <c r="E15" s="180"/>
      <c r="F15" s="185"/>
      <c r="G15" s="180"/>
      <c r="H15" s="180"/>
      <c r="I15" s="190"/>
      <c r="J15" s="180"/>
      <c r="K15" s="180"/>
    </row>
    <row r="16" spans="1:12" s="87" customFormat="1">
      <c r="A16" s="62"/>
      <c r="B16" s="188"/>
      <c r="C16" s="180"/>
      <c r="D16" s="180"/>
      <c r="E16" s="180"/>
      <c r="F16" s="185"/>
      <c r="G16" s="180"/>
      <c r="H16" s="180"/>
      <c r="I16" s="190"/>
      <c r="J16" s="180"/>
      <c r="K16" s="180"/>
    </row>
    <row r="17" spans="1:11" s="87" customFormat="1">
      <c r="A17" s="62"/>
      <c r="B17" s="189"/>
      <c r="C17" s="181"/>
      <c r="D17" s="181"/>
      <c r="E17" s="181"/>
      <c r="F17" s="186"/>
      <c r="G17" s="181"/>
      <c r="H17" s="181"/>
      <c r="I17" s="191"/>
      <c r="J17" s="181"/>
      <c r="K17" s="181"/>
    </row>
    <row r="18" spans="1:11" ht="46.8">
      <c r="A18" s="62"/>
      <c r="B18" s="100">
        <v>1</v>
      </c>
      <c r="C18" s="64" t="s">
        <v>325</v>
      </c>
      <c r="D18" s="101" t="s">
        <v>274</v>
      </c>
      <c r="E18" s="64" t="s">
        <v>236</v>
      </c>
      <c r="F18" s="101" t="s">
        <v>271</v>
      </c>
      <c r="G18" s="101" t="s">
        <v>445</v>
      </c>
      <c r="H18" s="101" t="s">
        <v>447</v>
      </c>
      <c r="I18" s="63" t="s">
        <v>240</v>
      </c>
      <c r="J18" s="65" t="s">
        <v>481</v>
      </c>
      <c r="K18" s="122" t="s">
        <v>484</v>
      </c>
    </row>
    <row r="19" spans="1:11" ht="62.4">
      <c r="A19" s="62"/>
      <c r="B19" s="88">
        <v>2</v>
      </c>
      <c r="C19" s="64" t="s">
        <v>326</v>
      </c>
      <c r="D19" s="101" t="s">
        <v>275</v>
      </c>
      <c r="E19" s="101" t="s">
        <v>273</v>
      </c>
      <c r="F19" s="64" t="s">
        <v>272</v>
      </c>
      <c r="G19" s="101" t="s">
        <v>444</v>
      </c>
      <c r="H19" s="101" t="s">
        <v>447</v>
      </c>
      <c r="I19" s="63" t="s">
        <v>240</v>
      </c>
      <c r="J19" s="65" t="s">
        <v>469</v>
      </c>
      <c r="K19" s="65"/>
    </row>
    <row r="20" spans="1:11">
      <c r="A20" s="62"/>
      <c r="B20" s="88">
        <v>3</v>
      </c>
      <c r="C20" s="64" t="s">
        <v>327</v>
      </c>
      <c r="D20" s="64"/>
      <c r="E20" s="64"/>
      <c r="F20" s="64"/>
      <c r="G20" s="64"/>
      <c r="H20" s="64"/>
      <c r="I20" s="63"/>
      <c r="J20" s="65"/>
      <c r="K20" s="65"/>
    </row>
    <row r="21" spans="1:11">
      <c r="A21" s="62"/>
      <c r="B21" s="88">
        <v>4</v>
      </c>
      <c r="C21" s="64" t="s">
        <v>328</v>
      </c>
      <c r="D21" s="64"/>
      <c r="E21" s="64"/>
      <c r="F21" s="64"/>
      <c r="G21" s="64"/>
      <c r="H21" s="64"/>
      <c r="I21" s="63"/>
      <c r="J21" s="65"/>
      <c r="K21" s="65"/>
    </row>
    <row r="22" spans="1:11">
      <c r="A22" s="62"/>
      <c r="B22" s="88">
        <v>5</v>
      </c>
      <c r="C22" s="64" t="s">
        <v>329</v>
      </c>
      <c r="D22" s="64"/>
      <c r="E22" s="64"/>
      <c r="F22" s="64"/>
      <c r="G22" s="64"/>
      <c r="H22" s="64"/>
      <c r="I22" s="63"/>
      <c r="J22" s="65"/>
      <c r="K22" s="65"/>
    </row>
    <row r="23" spans="1:11">
      <c r="A23" s="62"/>
      <c r="B23" s="88">
        <v>6</v>
      </c>
      <c r="C23" s="64" t="s">
        <v>330</v>
      </c>
      <c r="D23" s="64"/>
      <c r="E23" s="64"/>
      <c r="F23" s="64"/>
      <c r="G23" s="64"/>
      <c r="H23" s="64"/>
      <c r="I23" s="63"/>
      <c r="J23" s="65"/>
      <c r="K23" s="65"/>
    </row>
    <row r="24" spans="1:11">
      <c r="A24" s="62"/>
      <c r="B24" s="88">
        <v>7</v>
      </c>
      <c r="C24" s="64" t="s">
        <v>331</v>
      </c>
      <c r="D24" s="64"/>
      <c r="E24" s="64"/>
      <c r="F24" s="64"/>
      <c r="G24" s="64"/>
      <c r="H24" s="64"/>
      <c r="I24" s="63"/>
      <c r="J24" s="65"/>
      <c r="K24" s="65"/>
    </row>
    <row r="25" spans="1:11">
      <c r="A25" s="62"/>
      <c r="B25" s="88">
        <v>8</v>
      </c>
      <c r="C25" s="64" t="s">
        <v>332</v>
      </c>
      <c r="D25" s="64"/>
      <c r="E25" s="64"/>
      <c r="F25" s="64"/>
      <c r="G25" s="64"/>
      <c r="H25" s="64"/>
      <c r="I25" s="63"/>
      <c r="J25" s="65"/>
      <c r="K25" s="65"/>
    </row>
    <row r="26" spans="1:11">
      <c r="A26" s="62"/>
      <c r="B26" s="88">
        <v>9</v>
      </c>
      <c r="C26" s="64" t="s">
        <v>333</v>
      </c>
      <c r="D26" s="64"/>
      <c r="E26" s="64"/>
      <c r="F26" s="64"/>
      <c r="G26" s="64"/>
      <c r="H26" s="64"/>
      <c r="I26" s="63"/>
      <c r="J26" s="65"/>
      <c r="K26" s="65"/>
    </row>
    <row r="27" spans="1:11">
      <c r="A27" s="62"/>
      <c r="B27" s="88">
        <v>10</v>
      </c>
      <c r="C27" s="64" t="s">
        <v>334</v>
      </c>
      <c r="D27" s="64"/>
      <c r="E27" s="64"/>
      <c r="F27" s="64"/>
      <c r="G27" s="64"/>
      <c r="H27" s="64"/>
      <c r="I27" s="63"/>
      <c r="J27" s="65"/>
      <c r="K27" s="65"/>
    </row>
    <row r="28" spans="1:11">
      <c r="A28" s="62"/>
      <c r="B28" s="88">
        <v>11</v>
      </c>
      <c r="C28" s="64" t="s">
        <v>335</v>
      </c>
      <c r="D28" s="64"/>
      <c r="E28" s="64"/>
      <c r="F28" s="64"/>
      <c r="G28" s="64"/>
      <c r="H28" s="64"/>
      <c r="I28" s="63"/>
      <c r="J28" s="65"/>
      <c r="K28" s="65"/>
    </row>
    <row r="29" spans="1:11">
      <c r="A29" s="62"/>
      <c r="B29" s="88">
        <v>12</v>
      </c>
      <c r="C29" s="64" t="s">
        <v>336</v>
      </c>
      <c r="D29" s="64"/>
      <c r="E29" s="64"/>
      <c r="F29" s="64"/>
      <c r="G29" s="64"/>
      <c r="H29" s="64"/>
      <c r="I29" s="63"/>
      <c r="J29" s="65"/>
      <c r="K29" s="65"/>
    </row>
    <row r="30" spans="1:11">
      <c r="A30" s="62"/>
      <c r="B30" s="88">
        <v>13</v>
      </c>
      <c r="C30" s="64" t="s">
        <v>337</v>
      </c>
      <c r="D30" s="64"/>
      <c r="E30" s="64"/>
      <c r="F30" s="64"/>
      <c r="G30" s="64"/>
      <c r="H30" s="64"/>
      <c r="I30" s="63"/>
      <c r="J30" s="65"/>
      <c r="K30" s="65"/>
    </row>
    <row r="31" spans="1:11">
      <c r="A31" s="62"/>
      <c r="B31" s="88">
        <v>14</v>
      </c>
      <c r="C31" s="64" t="s">
        <v>338</v>
      </c>
      <c r="D31" s="64"/>
      <c r="E31" s="64"/>
      <c r="F31" s="64"/>
      <c r="G31" s="64"/>
      <c r="H31" s="64"/>
      <c r="I31" s="63"/>
      <c r="J31" s="65"/>
      <c r="K31" s="65"/>
    </row>
    <row r="32" spans="1:11">
      <c r="A32" s="62"/>
      <c r="B32" s="88">
        <v>15</v>
      </c>
      <c r="C32" s="64" t="s">
        <v>339</v>
      </c>
      <c r="D32" s="64"/>
      <c r="E32" s="64"/>
      <c r="F32" s="64"/>
      <c r="G32" s="64"/>
      <c r="H32" s="64"/>
      <c r="I32" s="63"/>
      <c r="J32" s="65"/>
      <c r="K32" s="65"/>
    </row>
    <row r="33" spans="1:11">
      <c r="A33" s="62"/>
      <c r="B33" s="88">
        <v>16</v>
      </c>
      <c r="C33" s="64" t="s">
        <v>340</v>
      </c>
      <c r="D33" s="64"/>
      <c r="E33" s="64"/>
      <c r="F33" s="64"/>
      <c r="G33" s="64"/>
      <c r="H33" s="64"/>
      <c r="I33" s="63"/>
      <c r="J33" s="65"/>
      <c r="K33" s="65"/>
    </row>
    <row r="34" spans="1:11">
      <c r="A34" s="62"/>
      <c r="B34" s="88">
        <v>17</v>
      </c>
      <c r="C34" s="64" t="s">
        <v>341</v>
      </c>
      <c r="D34" s="64"/>
      <c r="E34" s="64"/>
      <c r="F34" s="64"/>
      <c r="G34" s="64"/>
      <c r="H34" s="64"/>
      <c r="I34" s="63"/>
      <c r="J34" s="65"/>
      <c r="K34" s="65"/>
    </row>
    <row r="35" spans="1:11">
      <c r="A35" s="62"/>
      <c r="B35" s="88">
        <v>18</v>
      </c>
      <c r="C35" s="64" t="s">
        <v>342</v>
      </c>
      <c r="D35" s="64"/>
      <c r="E35" s="64"/>
      <c r="F35" s="64"/>
      <c r="G35" s="64"/>
      <c r="H35" s="64"/>
      <c r="I35" s="63"/>
      <c r="J35" s="65"/>
      <c r="K35" s="65"/>
    </row>
    <row r="36" spans="1:11">
      <c r="A36" s="62"/>
      <c r="B36" s="88">
        <v>19</v>
      </c>
      <c r="C36" s="64" t="s">
        <v>343</v>
      </c>
      <c r="D36" s="64"/>
      <c r="E36" s="64"/>
      <c r="F36" s="64"/>
      <c r="G36" s="64"/>
      <c r="H36" s="64"/>
      <c r="I36" s="63"/>
      <c r="J36" s="65"/>
      <c r="K36" s="65"/>
    </row>
    <row r="37" spans="1:11">
      <c r="A37" s="62"/>
      <c r="B37" s="88">
        <v>20</v>
      </c>
      <c r="C37" s="64" t="s">
        <v>344</v>
      </c>
      <c r="D37" s="64"/>
      <c r="E37" s="64"/>
      <c r="F37" s="64"/>
      <c r="G37" s="64"/>
      <c r="H37" s="64"/>
      <c r="I37" s="63"/>
      <c r="J37" s="65"/>
      <c r="K37" s="65"/>
    </row>
    <row r="38" spans="1:11">
      <c r="A38" s="62"/>
      <c r="B38" s="88">
        <v>21</v>
      </c>
      <c r="C38" s="64" t="s">
        <v>345</v>
      </c>
      <c r="D38" s="64"/>
      <c r="E38" s="64"/>
      <c r="F38" s="64"/>
      <c r="G38" s="64"/>
      <c r="H38" s="64"/>
      <c r="I38" s="63"/>
      <c r="J38" s="65"/>
      <c r="K38" s="65"/>
    </row>
    <row r="39" spans="1:11">
      <c r="A39" s="62"/>
      <c r="B39" s="88">
        <v>22</v>
      </c>
      <c r="C39" s="64" t="s">
        <v>346</v>
      </c>
      <c r="D39" s="64"/>
      <c r="E39" s="64"/>
      <c r="F39" s="64"/>
      <c r="G39" s="64"/>
      <c r="H39" s="64"/>
      <c r="I39" s="63"/>
      <c r="J39" s="65"/>
      <c r="K39" s="65"/>
    </row>
    <row r="40" spans="1:11">
      <c r="A40" s="62"/>
      <c r="B40" s="88">
        <v>23</v>
      </c>
      <c r="C40" s="64" t="s">
        <v>347</v>
      </c>
      <c r="D40" s="64"/>
      <c r="E40" s="64"/>
      <c r="F40" s="64"/>
      <c r="G40" s="64"/>
      <c r="H40" s="64"/>
      <c r="I40" s="63"/>
      <c r="J40" s="65"/>
      <c r="K40" s="65"/>
    </row>
    <row r="41" spans="1:11">
      <c r="A41" s="62"/>
      <c r="B41" s="88">
        <v>24</v>
      </c>
      <c r="C41" s="64" t="s">
        <v>348</v>
      </c>
      <c r="D41" s="64"/>
      <c r="E41" s="64"/>
      <c r="F41" s="64"/>
      <c r="G41" s="64"/>
      <c r="H41" s="64"/>
      <c r="I41" s="63"/>
      <c r="J41" s="65"/>
      <c r="K41" s="65"/>
    </row>
    <row r="42" spans="1:11">
      <c r="A42" s="62"/>
      <c r="B42" s="88">
        <v>25</v>
      </c>
      <c r="C42" s="64" t="s">
        <v>349</v>
      </c>
      <c r="D42" s="64"/>
      <c r="E42" s="64"/>
      <c r="F42" s="64"/>
      <c r="G42" s="64"/>
      <c r="H42" s="64"/>
      <c r="I42" s="63"/>
      <c r="J42" s="65"/>
      <c r="K42" s="65"/>
    </row>
    <row r="43" spans="1:11">
      <c r="A43" s="62"/>
      <c r="B43" s="88">
        <v>26</v>
      </c>
      <c r="C43" s="64" t="s">
        <v>350</v>
      </c>
      <c r="D43" s="64"/>
      <c r="E43" s="64"/>
      <c r="F43" s="64"/>
      <c r="G43" s="64"/>
      <c r="H43" s="64"/>
      <c r="I43" s="63"/>
      <c r="J43" s="65"/>
      <c r="K43" s="65"/>
    </row>
    <row r="44" spans="1:11">
      <c r="A44" s="62"/>
      <c r="B44" s="88">
        <v>27</v>
      </c>
      <c r="C44" s="64" t="s">
        <v>351</v>
      </c>
      <c r="D44" s="64"/>
      <c r="E44" s="64"/>
      <c r="F44" s="64"/>
      <c r="G44" s="64"/>
      <c r="H44" s="64"/>
      <c r="I44" s="63"/>
      <c r="J44" s="65"/>
      <c r="K44" s="65"/>
    </row>
    <row r="45" spans="1:11">
      <c r="A45" s="62"/>
      <c r="B45" s="88">
        <v>28</v>
      </c>
      <c r="C45" s="64" t="s">
        <v>352</v>
      </c>
      <c r="D45" s="64"/>
      <c r="E45" s="64"/>
      <c r="F45" s="64"/>
      <c r="G45" s="64"/>
      <c r="H45" s="64"/>
      <c r="I45" s="63"/>
      <c r="J45" s="65"/>
      <c r="K45" s="65"/>
    </row>
    <row r="46" spans="1:11">
      <c r="A46" s="62"/>
      <c r="B46" s="88">
        <v>29</v>
      </c>
      <c r="C46" s="64" t="s">
        <v>353</v>
      </c>
      <c r="D46" s="64"/>
      <c r="E46" s="64"/>
      <c r="F46" s="64"/>
      <c r="G46" s="64"/>
      <c r="H46" s="64"/>
      <c r="I46" s="63"/>
      <c r="J46" s="65"/>
      <c r="K46" s="65"/>
    </row>
    <row r="47" spans="1:11">
      <c r="A47" s="62"/>
      <c r="B47" s="88">
        <v>30</v>
      </c>
      <c r="C47" s="64" t="s">
        <v>354</v>
      </c>
      <c r="D47" s="64"/>
      <c r="E47" s="64"/>
      <c r="F47" s="64"/>
      <c r="G47" s="64"/>
      <c r="H47" s="64"/>
      <c r="I47" s="63"/>
      <c r="J47" s="65"/>
      <c r="K47" s="65"/>
    </row>
    <row r="48" spans="1:11">
      <c r="A48" s="62"/>
      <c r="B48" s="88">
        <v>31</v>
      </c>
      <c r="C48" s="64" t="s">
        <v>355</v>
      </c>
      <c r="D48" s="64"/>
      <c r="E48" s="64"/>
      <c r="F48" s="64"/>
      <c r="G48" s="64"/>
      <c r="H48" s="64"/>
      <c r="I48" s="63"/>
      <c r="J48" s="65"/>
      <c r="K48" s="65"/>
    </row>
    <row r="49" spans="1:11">
      <c r="A49" s="62"/>
      <c r="B49" s="88">
        <v>32</v>
      </c>
      <c r="C49" s="64" t="s">
        <v>356</v>
      </c>
      <c r="D49" s="64"/>
      <c r="E49" s="64"/>
      <c r="F49" s="64"/>
      <c r="G49" s="64"/>
      <c r="H49" s="64"/>
      <c r="I49" s="63"/>
      <c r="J49" s="65"/>
      <c r="K49" s="65"/>
    </row>
    <row r="50" spans="1:11">
      <c r="A50" s="62"/>
      <c r="B50" s="88">
        <v>33</v>
      </c>
      <c r="C50" s="64" t="s">
        <v>357</v>
      </c>
      <c r="D50" s="64"/>
      <c r="E50" s="64"/>
      <c r="F50" s="64"/>
      <c r="G50" s="64"/>
      <c r="H50" s="64"/>
      <c r="I50" s="63"/>
      <c r="J50" s="65"/>
      <c r="K50" s="65"/>
    </row>
    <row r="51" spans="1:11">
      <c r="A51" s="62"/>
      <c r="B51" s="88">
        <v>34</v>
      </c>
      <c r="C51" s="64" t="s">
        <v>358</v>
      </c>
      <c r="D51" s="64"/>
      <c r="E51" s="64"/>
      <c r="F51" s="64"/>
      <c r="G51" s="64"/>
      <c r="H51" s="64"/>
      <c r="I51" s="63"/>
      <c r="J51" s="65"/>
      <c r="K51" s="65"/>
    </row>
    <row r="52" spans="1:11">
      <c r="A52" s="62"/>
      <c r="B52" s="88">
        <v>35</v>
      </c>
      <c r="C52" s="64" t="s">
        <v>359</v>
      </c>
      <c r="D52" s="64"/>
      <c r="E52" s="64"/>
      <c r="F52" s="64"/>
      <c r="G52" s="64"/>
      <c r="H52" s="64"/>
      <c r="I52" s="63"/>
      <c r="J52" s="65"/>
      <c r="K52" s="65"/>
    </row>
    <row r="53" spans="1:11">
      <c r="A53" s="62"/>
      <c r="B53" s="88">
        <v>36</v>
      </c>
      <c r="C53" s="64" t="s">
        <v>360</v>
      </c>
      <c r="D53" s="64"/>
      <c r="E53" s="64"/>
      <c r="F53" s="64"/>
      <c r="G53" s="64"/>
      <c r="H53" s="64"/>
      <c r="I53" s="63"/>
      <c r="J53" s="65"/>
      <c r="K53" s="65"/>
    </row>
    <row r="54" spans="1:11">
      <c r="A54" s="62"/>
      <c r="B54" s="88">
        <v>37</v>
      </c>
      <c r="C54" s="64" t="s">
        <v>361</v>
      </c>
      <c r="D54" s="64"/>
      <c r="E54" s="64"/>
      <c r="F54" s="64"/>
      <c r="G54" s="64"/>
      <c r="H54" s="64"/>
      <c r="I54" s="63"/>
      <c r="J54" s="65"/>
      <c r="K54" s="65"/>
    </row>
    <row r="55" spans="1:11">
      <c r="A55" s="62"/>
      <c r="B55" s="88">
        <v>38</v>
      </c>
      <c r="C55" s="64" t="s">
        <v>362</v>
      </c>
      <c r="D55" s="64"/>
      <c r="E55" s="64"/>
      <c r="F55" s="64"/>
      <c r="G55" s="64"/>
      <c r="H55" s="64"/>
      <c r="I55" s="63"/>
      <c r="J55" s="65"/>
      <c r="K55" s="65"/>
    </row>
    <row r="56" spans="1:11">
      <c r="A56" s="62"/>
      <c r="B56" s="88">
        <v>39</v>
      </c>
      <c r="C56" s="64" t="s">
        <v>363</v>
      </c>
      <c r="D56" s="64"/>
      <c r="E56" s="64"/>
      <c r="F56" s="64"/>
      <c r="G56" s="64"/>
      <c r="H56" s="64"/>
      <c r="I56" s="63"/>
      <c r="J56" s="65"/>
      <c r="K56" s="65"/>
    </row>
    <row r="57" spans="1:11">
      <c r="A57" s="62"/>
      <c r="B57" s="88">
        <v>40</v>
      </c>
      <c r="C57" s="64" t="s">
        <v>364</v>
      </c>
      <c r="D57" s="64"/>
      <c r="E57" s="64"/>
      <c r="F57" s="64"/>
      <c r="G57" s="64"/>
      <c r="H57" s="64"/>
      <c r="I57" s="63"/>
      <c r="J57" s="65"/>
      <c r="K57" s="65"/>
    </row>
    <row r="58" spans="1:11">
      <c r="A58" s="62"/>
      <c r="B58" s="88">
        <v>41</v>
      </c>
      <c r="C58" s="64" t="s">
        <v>365</v>
      </c>
      <c r="D58" s="64"/>
      <c r="E58" s="64"/>
      <c r="F58" s="64"/>
      <c r="G58" s="64"/>
      <c r="H58" s="64"/>
      <c r="I58" s="63"/>
      <c r="J58" s="65"/>
      <c r="K58" s="65"/>
    </row>
    <row r="59" spans="1:11">
      <c r="A59" s="62"/>
      <c r="B59" s="88">
        <v>42</v>
      </c>
      <c r="C59" s="64" t="s">
        <v>366</v>
      </c>
      <c r="D59" s="64"/>
      <c r="E59" s="64"/>
      <c r="F59" s="64"/>
      <c r="G59" s="64"/>
      <c r="H59" s="64"/>
      <c r="I59" s="63"/>
      <c r="J59" s="65"/>
      <c r="K59" s="65"/>
    </row>
    <row r="60" spans="1:11">
      <c r="A60" s="62"/>
      <c r="B60" s="88">
        <v>43</v>
      </c>
      <c r="C60" s="64" t="s">
        <v>367</v>
      </c>
      <c r="D60" s="64"/>
      <c r="E60" s="64"/>
      <c r="F60" s="64"/>
      <c r="G60" s="64"/>
      <c r="H60" s="64"/>
      <c r="I60" s="63"/>
      <c r="J60" s="65"/>
      <c r="K60" s="65"/>
    </row>
    <row r="61" spans="1:11">
      <c r="A61" s="62"/>
      <c r="B61" s="88">
        <v>44</v>
      </c>
      <c r="C61" s="64" t="s">
        <v>368</v>
      </c>
      <c r="D61" s="64"/>
      <c r="E61" s="64"/>
      <c r="F61" s="64"/>
      <c r="G61" s="64"/>
      <c r="H61" s="64"/>
      <c r="I61" s="63"/>
      <c r="J61" s="65"/>
      <c r="K61" s="65"/>
    </row>
    <row r="62" spans="1:11">
      <c r="A62" s="62"/>
      <c r="B62" s="88">
        <v>45</v>
      </c>
      <c r="C62" s="64" t="s">
        <v>369</v>
      </c>
      <c r="D62" s="64"/>
      <c r="E62" s="64"/>
      <c r="F62" s="64"/>
      <c r="G62" s="64"/>
      <c r="H62" s="64"/>
      <c r="I62" s="63"/>
      <c r="J62" s="65"/>
      <c r="K62" s="65"/>
    </row>
    <row r="63" spans="1:11">
      <c r="A63" s="62"/>
      <c r="B63" s="88">
        <v>46</v>
      </c>
      <c r="C63" s="64" t="s">
        <v>370</v>
      </c>
      <c r="D63" s="64"/>
      <c r="E63" s="64"/>
      <c r="F63" s="64"/>
      <c r="G63" s="64"/>
      <c r="H63" s="64"/>
      <c r="I63" s="63"/>
      <c r="J63" s="65"/>
      <c r="K63" s="65"/>
    </row>
    <row r="64" spans="1:11">
      <c r="A64" s="62"/>
      <c r="B64" s="88">
        <v>47</v>
      </c>
      <c r="C64" s="64" t="s">
        <v>371</v>
      </c>
      <c r="D64" s="64"/>
      <c r="E64" s="64"/>
      <c r="F64" s="64"/>
      <c r="G64" s="64"/>
      <c r="H64" s="64"/>
      <c r="I64" s="63"/>
      <c r="J64" s="65"/>
      <c r="K64" s="65"/>
    </row>
    <row r="65" spans="1:11">
      <c r="A65" s="62"/>
      <c r="B65" s="100">
        <v>48</v>
      </c>
      <c r="C65" s="64" t="s">
        <v>372</v>
      </c>
      <c r="D65" s="64"/>
      <c r="E65" s="64"/>
      <c r="F65" s="64"/>
      <c r="G65" s="64"/>
      <c r="H65" s="64"/>
      <c r="I65" s="63"/>
      <c r="J65" s="65"/>
      <c r="K65" s="65"/>
    </row>
    <row r="66" spans="1:11">
      <c r="A66" s="62"/>
      <c r="B66" s="100">
        <v>49</v>
      </c>
      <c r="C66" s="64" t="s">
        <v>373</v>
      </c>
      <c r="D66" s="64"/>
      <c r="E66" s="64"/>
      <c r="F66" s="64"/>
      <c r="G66" s="64"/>
      <c r="H66" s="64"/>
      <c r="I66" s="63"/>
      <c r="J66" s="65"/>
      <c r="K66" s="65"/>
    </row>
    <row r="67" spans="1:11">
      <c r="A67" s="62"/>
      <c r="B67" s="100">
        <v>50</v>
      </c>
      <c r="C67" s="64" t="s">
        <v>374</v>
      </c>
      <c r="D67" s="64"/>
      <c r="E67" s="64"/>
      <c r="F67" s="64"/>
      <c r="G67" s="64"/>
      <c r="H67" s="64"/>
      <c r="I67" s="63"/>
      <c r="J67" s="65"/>
      <c r="K67" s="65"/>
    </row>
    <row r="68" spans="1:11">
      <c r="A68" s="43"/>
      <c r="B68" s="66" t="s">
        <v>237</v>
      </c>
      <c r="C68" s="67"/>
      <c r="D68" s="67"/>
      <c r="E68" s="67"/>
      <c r="F68" s="67"/>
      <c r="G68" s="67"/>
      <c r="H68" s="67"/>
      <c r="I68" s="68"/>
      <c r="J68" s="69"/>
      <c r="K68" s="69"/>
    </row>
    <row r="70" spans="1:11" ht="24">
      <c r="B70" s="5"/>
      <c r="C70" s="192" t="s">
        <v>201</v>
      </c>
      <c r="D70" s="193"/>
      <c r="E70" s="193"/>
    </row>
    <row r="71" spans="1:11">
      <c r="B71" s="5"/>
      <c r="C71" s="1" t="s">
        <v>202</v>
      </c>
      <c r="D71" s="1" t="s">
        <v>201</v>
      </c>
      <c r="E71" s="1" t="s">
        <v>203</v>
      </c>
    </row>
    <row r="72" spans="1:11">
      <c r="B72" s="5"/>
      <c r="C72" s="2" t="s">
        <v>204</v>
      </c>
      <c r="D72" s="2" t="s">
        <v>205</v>
      </c>
      <c r="E72" s="2" t="s">
        <v>15</v>
      </c>
    </row>
    <row r="73" spans="1:11">
      <c r="B73" s="5"/>
      <c r="C73" s="2" t="s">
        <v>206</v>
      </c>
      <c r="D73" s="2" t="s">
        <v>207</v>
      </c>
      <c r="E73" s="2" t="s">
        <v>32</v>
      </c>
    </row>
    <row r="74" spans="1:11">
      <c r="B74" s="5"/>
      <c r="C74" s="2" t="s">
        <v>208</v>
      </c>
      <c r="D74" s="2" t="s">
        <v>209</v>
      </c>
      <c r="E74" s="2" t="s">
        <v>40</v>
      </c>
    </row>
    <row r="75" spans="1:11">
      <c r="B75" s="5"/>
      <c r="C75" s="2" t="s">
        <v>210</v>
      </c>
      <c r="D75" s="2" t="s">
        <v>211</v>
      </c>
      <c r="E75" s="2" t="s">
        <v>48</v>
      </c>
    </row>
    <row r="76" spans="1:11">
      <c r="B76" s="5"/>
      <c r="C76" s="2" t="s">
        <v>212</v>
      </c>
      <c r="D76" s="2" t="s">
        <v>213</v>
      </c>
      <c r="E76" s="2" t="s">
        <v>48</v>
      </c>
    </row>
    <row r="77" spans="1:11">
      <c r="B77" s="5"/>
      <c r="C77" s="2" t="s">
        <v>214</v>
      </c>
      <c r="D77" s="2" t="s">
        <v>215</v>
      </c>
      <c r="E77" s="2" t="s">
        <v>216</v>
      </c>
    </row>
    <row r="78" spans="1:11">
      <c r="B78" s="5"/>
      <c r="C78" s="2" t="s">
        <v>217</v>
      </c>
      <c r="D78" s="2" t="s">
        <v>218</v>
      </c>
      <c r="E78" s="2" t="s">
        <v>216</v>
      </c>
    </row>
    <row r="79" spans="1:11">
      <c r="B79" s="5"/>
      <c r="C79" s="2" t="s">
        <v>219</v>
      </c>
      <c r="D79" s="2" t="s">
        <v>220</v>
      </c>
      <c r="E79" s="2" t="s">
        <v>118</v>
      </c>
    </row>
    <row r="80" spans="1:11">
      <c r="B80" s="5"/>
      <c r="C80" s="2" t="s">
        <v>221</v>
      </c>
      <c r="D80" s="2" t="s">
        <v>222</v>
      </c>
      <c r="E80" s="2" t="s">
        <v>151</v>
      </c>
    </row>
    <row r="81" spans="2:5">
      <c r="B81" s="5"/>
      <c r="C81" s="30"/>
      <c r="D81" s="30"/>
      <c r="E81" s="30"/>
    </row>
  </sheetData>
  <sheetProtection algorithmName="SHA-512" hashValue="KHXA1Kb1mM3IHbjYnhUuDQ/JIiJE3rWMcfYSuEcU64r+iEZtfswrdiMNYS1AnjfeX9V5pUGcn9DZ7pTtQEhw3w==" saltValue="zUlwy/aCPGUl3E44hUPObw==" spinCount="100000" sheet="1" objects="1" scenarios="1" selectLockedCells="1" selectUnlockedCells="1"/>
  <mergeCells count="11">
    <mergeCell ref="B14:B17"/>
    <mergeCell ref="C14:C17"/>
    <mergeCell ref="D14:D17"/>
    <mergeCell ref="E14:E17"/>
    <mergeCell ref="F14:F17"/>
    <mergeCell ref="H14:H17"/>
    <mergeCell ref="I14:I17"/>
    <mergeCell ref="J14:J17"/>
    <mergeCell ref="K14:K17"/>
    <mergeCell ref="C70:E70"/>
    <mergeCell ref="G14:G17"/>
  </mergeCells>
  <phoneticPr fontId="1" type="noConversion"/>
  <conditionalFormatting sqref="B18:I68">
    <cfRule type="cellIs" dxfId="12" priority="5" operator="equal">
      <formula>#REF!</formula>
    </cfRule>
  </conditionalFormatting>
  <conditionalFormatting sqref="B18:J18 B19:K67">
    <cfRule type="expression" dxfId="11" priority="6">
      <formula>NOT(ISBLANK($D$18:$D$67))</formula>
    </cfRule>
  </conditionalFormatting>
  <conditionalFormatting sqref="I18:I67">
    <cfRule type="cellIs" dxfId="10" priority="2" operator="equal">
      <formula>"구현"</formula>
    </cfRule>
    <cfRule type="cellIs" dxfId="9" priority="3" operator="equal">
      <formula>"예정"</formula>
    </cfRule>
    <cfRule type="cellIs" dxfId="8" priority="4" operator="equal">
      <formula>"보류"</formula>
    </cfRule>
  </conditionalFormatting>
  <conditionalFormatting sqref="K18">
    <cfRule type="expression" dxfId="7" priority="1">
      <formula>NOT(ISBLANK($D$18:$D$67))</formula>
    </cfRule>
  </conditionalFormatting>
  <dataValidations count="1">
    <dataValidation type="list" allowBlank="1" showErrorMessage="1" errorTitle="입력 오류" error="목록(구현/예정/보류) 중에서 선택하세요." sqref="I18:I67" xr:uid="{95DB95E9-133E-4B59-AD43-7A12DF2D9A0F}">
      <formula1>"구현,예정,보류"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92EE-D88E-4F17-8839-FB2537D0282D}">
  <dimension ref="A1:L68"/>
  <sheetViews>
    <sheetView tabSelected="1" zoomScale="70" zoomScaleNormal="70" workbookViewId="0">
      <selection activeCell="G10" sqref="G10"/>
    </sheetView>
  </sheetViews>
  <sheetFormatPr defaultColWidth="11.3984375" defaultRowHeight="17.399999999999999"/>
  <cols>
    <col min="1" max="1" width="2.8984375" style="47" customWidth="1"/>
    <col min="2" max="2" width="5.09765625" style="47" customWidth="1"/>
    <col min="3" max="3" width="16.296875" style="47" customWidth="1"/>
    <col min="4" max="5" width="24.5" style="47" customWidth="1"/>
    <col min="6" max="6" width="28.19921875" style="47" customWidth="1"/>
    <col min="7" max="7" width="48" style="47" customWidth="1"/>
    <col min="8" max="8" width="45.5" style="47" customWidth="1"/>
    <col min="9" max="9" width="11.59765625" style="47" customWidth="1"/>
    <col min="10" max="10" width="36.5" style="105" customWidth="1"/>
    <col min="11" max="11" width="42.5" style="47" customWidth="1"/>
    <col min="12" max="12" width="11.3984375" style="47" customWidth="1"/>
    <col min="13" max="16384" width="11.3984375" style="47"/>
  </cols>
  <sheetData>
    <row r="1" spans="1:12" ht="18" thickBot="1">
      <c r="A1" s="43"/>
      <c r="B1" s="43"/>
      <c r="C1" s="43"/>
      <c r="D1" s="44"/>
      <c r="E1" s="45"/>
      <c r="F1" s="45"/>
      <c r="G1" s="43"/>
      <c r="H1" s="44"/>
      <c r="I1" s="44"/>
      <c r="J1" s="49"/>
      <c r="K1" s="43"/>
    </row>
    <row r="2" spans="1:12" ht="36.6" thickBot="1">
      <c r="A2" s="43"/>
      <c r="B2" s="42" t="s">
        <v>480</v>
      </c>
      <c r="C2" s="42"/>
      <c r="D2" s="42"/>
      <c r="E2" s="42"/>
      <c r="F2" s="42"/>
      <c r="G2" s="42"/>
      <c r="H2" s="42"/>
      <c r="I2" s="42"/>
      <c r="J2" s="42"/>
      <c r="K2" s="42"/>
    </row>
    <row r="3" spans="1:12">
      <c r="A3" s="43"/>
      <c r="B3" s="43"/>
      <c r="C3" s="43"/>
      <c r="D3" s="49"/>
      <c r="E3" s="49"/>
      <c r="F3" s="49"/>
      <c r="H3" s="49"/>
      <c r="I3" s="49"/>
      <c r="J3" s="49"/>
      <c r="K3" s="43"/>
    </row>
    <row r="4" spans="1:12" s="70" customFormat="1">
      <c r="A4" s="43"/>
      <c r="B4" s="50" t="s">
        <v>223</v>
      </c>
      <c r="C4" s="51"/>
      <c r="D4" s="51"/>
      <c r="E4" s="52"/>
      <c r="F4" s="52"/>
      <c r="G4" s="47"/>
      <c r="H4" s="54" t="s">
        <v>224</v>
      </c>
      <c r="I4" s="55"/>
      <c r="J4" s="102"/>
    </row>
    <row r="5" spans="1:12" s="70" customFormat="1" ht="15.6">
      <c r="A5" s="43"/>
      <c r="B5" s="56" t="s">
        <v>478</v>
      </c>
      <c r="C5" s="56"/>
      <c r="D5" s="56"/>
      <c r="E5" s="57"/>
      <c r="F5" s="57"/>
      <c r="H5" s="54" t="s">
        <v>56</v>
      </c>
      <c r="I5" s="96"/>
      <c r="J5" s="102"/>
    </row>
    <row r="6" spans="1:12" s="70" customFormat="1" ht="15.6">
      <c r="A6" s="43"/>
      <c r="B6" s="56" t="s">
        <v>479</v>
      </c>
      <c r="C6" s="56"/>
      <c r="D6" s="56"/>
      <c r="E6" s="57"/>
      <c r="F6" s="57"/>
      <c r="H6" s="54" t="s">
        <v>225</v>
      </c>
      <c r="I6" s="55"/>
      <c r="J6" s="102"/>
    </row>
    <row r="7" spans="1:12" s="70" customFormat="1" ht="15.6">
      <c r="A7" s="43"/>
      <c r="B7" s="56"/>
      <c r="C7" s="56"/>
      <c r="D7" s="56"/>
      <c r="E7" s="57"/>
      <c r="F7" s="57"/>
      <c r="H7" s="54" t="s">
        <v>226</v>
      </c>
      <c r="I7" s="55"/>
      <c r="J7" s="102"/>
    </row>
    <row r="8" spans="1:12" s="70" customFormat="1" ht="15.6">
      <c r="A8" s="43"/>
      <c r="B8" s="56"/>
      <c r="C8" s="56"/>
      <c r="D8" s="56"/>
      <c r="E8" s="57"/>
      <c r="F8" s="57"/>
      <c r="H8" s="89" t="s">
        <v>227</v>
      </c>
      <c r="I8" s="97">
        <f>IFERROR(COUNTIF(I18:I67,"구현")/ROWS(I18:I67),0)</f>
        <v>0.06</v>
      </c>
      <c r="J8" s="102"/>
    </row>
    <row r="9" spans="1:12" s="70" customFormat="1" ht="15.6">
      <c r="A9" s="43"/>
      <c r="B9" s="59"/>
      <c r="C9" s="59"/>
      <c r="D9" s="59"/>
      <c r="E9" s="59"/>
      <c r="F9" s="59"/>
      <c r="H9" s="43"/>
      <c r="I9" s="46"/>
      <c r="J9" s="102"/>
    </row>
    <row r="10" spans="1:12" s="70" customFormat="1" ht="15.6">
      <c r="A10" s="43"/>
      <c r="B10" s="43"/>
      <c r="C10" s="43"/>
      <c r="D10" s="49"/>
      <c r="E10" s="49"/>
      <c r="F10" s="49"/>
      <c r="G10" s="43"/>
      <c r="I10" s="43"/>
      <c r="J10" s="102"/>
    </row>
    <row r="11" spans="1:12">
      <c r="A11" s="43"/>
      <c r="B11" s="53"/>
      <c r="C11" s="53" t="str">
        <f>IFERROR( MID($B$2, FIND("]",$B$2, 1)+1, LEN($B$2)), "타이틀을 작성하세요")</f>
        <v>로그인</v>
      </c>
      <c r="D11" s="53"/>
      <c r="E11" s="70"/>
      <c r="F11" s="70"/>
      <c r="G11" s="70"/>
      <c r="H11" s="70"/>
      <c r="I11" s="70"/>
      <c r="J11" s="102"/>
      <c r="K11" s="70"/>
    </row>
    <row r="12" spans="1:12">
      <c r="A12" s="43"/>
      <c r="B12" s="44"/>
      <c r="C12" s="44"/>
      <c r="D12" s="44"/>
      <c r="E12" s="70"/>
      <c r="F12" s="70"/>
      <c r="G12" s="70"/>
      <c r="H12" s="70"/>
      <c r="I12" s="70"/>
      <c r="J12" s="102"/>
      <c r="K12" s="70"/>
      <c r="L12" s="70"/>
    </row>
    <row r="13" spans="1:12">
      <c r="A13" s="43"/>
      <c r="B13" s="60"/>
      <c r="C13" s="61"/>
      <c r="D13" s="82" t="s">
        <v>228</v>
      </c>
      <c r="E13" s="83"/>
      <c r="F13" s="83"/>
      <c r="G13" s="83"/>
      <c r="H13" s="83"/>
      <c r="I13" s="83"/>
      <c r="J13" s="82"/>
      <c r="K13" s="83"/>
    </row>
    <row r="14" spans="1:12" s="87" customFormat="1">
      <c r="A14" s="62"/>
      <c r="B14" s="187" t="s">
        <v>229</v>
      </c>
      <c r="C14" s="179" t="s">
        <v>238</v>
      </c>
      <c r="D14" s="179" t="s">
        <v>64</v>
      </c>
      <c r="E14" s="179" t="s">
        <v>231</v>
      </c>
      <c r="F14" s="184" t="s">
        <v>242</v>
      </c>
      <c r="G14" s="179" t="s">
        <v>241</v>
      </c>
      <c r="H14" s="179" t="s">
        <v>232</v>
      </c>
      <c r="I14" s="184" t="s">
        <v>233</v>
      </c>
      <c r="J14" s="179" t="s">
        <v>234</v>
      </c>
      <c r="K14" s="179" t="s">
        <v>235</v>
      </c>
    </row>
    <row r="15" spans="1:12" s="87" customFormat="1">
      <c r="A15" s="62"/>
      <c r="B15" s="188"/>
      <c r="C15" s="180"/>
      <c r="D15" s="180"/>
      <c r="E15" s="180"/>
      <c r="F15" s="185"/>
      <c r="G15" s="180"/>
      <c r="H15" s="180"/>
      <c r="I15" s="185"/>
      <c r="J15" s="190"/>
      <c r="K15" s="180"/>
    </row>
    <row r="16" spans="1:12" s="87" customFormat="1">
      <c r="A16" s="62"/>
      <c r="B16" s="188"/>
      <c r="C16" s="180"/>
      <c r="D16" s="180"/>
      <c r="E16" s="180"/>
      <c r="F16" s="185"/>
      <c r="G16" s="180"/>
      <c r="H16" s="180"/>
      <c r="I16" s="185"/>
      <c r="J16" s="190"/>
      <c r="K16" s="180"/>
    </row>
    <row r="17" spans="1:11" s="87" customFormat="1">
      <c r="A17" s="62"/>
      <c r="B17" s="189"/>
      <c r="C17" s="181"/>
      <c r="D17" s="181"/>
      <c r="E17" s="181"/>
      <c r="F17" s="186"/>
      <c r="G17" s="181"/>
      <c r="H17" s="181"/>
      <c r="I17" s="186"/>
      <c r="J17" s="191"/>
      <c r="K17" s="181"/>
    </row>
    <row r="18" spans="1:11" ht="46.8">
      <c r="A18" s="62"/>
      <c r="B18" s="100">
        <v>1</v>
      </c>
      <c r="C18" s="117" t="s">
        <v>463</v>
      </c>
      <c r="D18" s="121" t="s">
        <v>456</v>
      </c>
      <c r="E18" s="119" t="s">
        <v>457</v>
      </c>
      <c r="F18" s="121" t="s">
        <v>452</v>
      </c>
      <c r="G18" s="120" t="s">
        <v>448</v>
      </c>
      <c r="H18" s="121" t="s">
        <v>449</v>
      </c>
      <c r="I18" s="63" t="s">
        <v>240</v>
      </c>
      <c r="J18" s="65" t="s">
        <v>482</v>
      </c>
      <c r="K18" s="122" t="s">
        <v>485</v>
      </c>
    </row>
    <row r="19" spans="1:11" ht="46.8">
      <c r="A19" s="62"/>
      <c r="B19" s="88">
        <v>2</v>
      </c>
      <c r="C19" s="117" t="s">
        <v>462</v>
      </c>
      <c r="D19" s="121" t="s">
        <v>455</v>
      </c>
      <c r="E19" s="194" t="s">
        <v>446</v>
      </c>
      <c r="F19" s="121" t="s">
        <v>453</v>
      </c>
      <c r="G19" s="120" t="s">
        <v>450</v>
      </c>
      <c r="H19" s="121" t="s">
        <v>458</v>
      </c>
      <c r="I19" s="63" t="s">
        <v>240</v>
      </c>
      <c r="J19" s="65" t="s">
        <v>467</v>
      </c>
      <c r="K19" s="103" t="s">
        <v>470</v>
      </c>
    </row>
    <row r="20" spans="1:11" ht="62.4">
      <c r="A20" s="62"/>
      <c r="B20" s="88">
        <v>3</v>
      </c>
      <c r="C20" s="117" t="s">
        <v>375</v>
      </c>
      <c r="D20" s="121" t="s">
        <v>454</v>
      </c>
      <c r="E20" s="195"/>
      <c r="F20" s="121" t="s">
        <v>451</v>
      </c>
      <c r="G20" s="120" t="s">
        <v>460</v>
      </c>
      <c r="H20" s="121" t="s">
        <v>459</v>
      </c>
      <c r="I20" s="63" t="s">
        <v>240</v>
      </c>
      <c r="J20" s="65" t="s">
        <v>468</v>
      </c>
      <c r="K20" s="65"/>
    </row>
    <row r="21" spans="1:11">
      <c r="A21" s="62"/>
      <c r="B21" s="88">
        <v>4</v>
      </c>
      <c r="C21" s="117" t="s">
        <v>376</v>
      </c>
      <c r="D21" s="118"/>
      <c r="E21" s="119"/>
      <c r="F21" s="120"/>
      <c r="G21" s="120"/>
      <c r="H21" s="118"/>
      <c r="I21" s="64"/>
      <c r="J21" s="103"/>
      <c r="K21" s="65"/>
    </row>
    <row r="22" spans="1:11">
      <c r="A22" s="62"/>
      <c r="B22" s="88">
        <v>5</v>
      </c>
      <c r="C22" s="117" t="s">
        <v>377</v>
      </c>
      <c r="D22" s="121"/>
      <c r="E22" s="119"/>
      <c r="F22" s="120"/>
      <c r="G22" s="120"/>
      <c r="H22" s="118"/>
      <c r="I22" s="64"/>
      <c r="J22" s="103"/>
      <c r="K22" s="65"/>
    </row>
    <row r="23" spans="1:11">
      <c r="A23" s="62"/>
      <c r="B23" s="88">
        <v>6</v>
      </c>
      <c r="C23" s="64" t="s">
        <v>378</v>
      </c>
      <c r="D23" s="64"/>
      <c r="E23" s="64"/>
      <c r="F23" s="64"/>
      <c r="G23" s="64"/>
      <c r="H23" s="64"/>
      <c r="I23" s="64"/>
      <c r="J23" s="103"/>
      <c r="K23" s="65"/>
    </row>
    <row r="24" spans="1:11">
      <c r="A24" s="62"/>
      <c r="B24" s="88">
        <v>7</v>
      </c>
      <c r="C24" s="64" t="s">
        <v>379</v>
      </c>
      <c r="D24" s="64"/>
      <c r="E24" s="64"/>
      <c r="F24" s="64"/>
      <c r="G24" s="64"/>
      <c r="H24" s="64"/>
      <c r="I24" s="64"/>
      <c r="J24" s="103"/>
      <c r="K24" s="65"/>
    </row>
    <row r="25" spans="1:11">
      <c r="A25" s="62"/>
      <c r="B25" s="88">
        <v>8</v>
      </c>
      <c r="C25" s="64" t="s">
        <v>380</v>
      </c>
      <c r="D25" s="64"/>
      <c r="E25" s="64"/>
      <c r="F25" s="64"/>
      <c r="G25" s="64"/>
      <c r="H25" s="64"/>
      <c r="I25" s="64"/>
      <c r="J25" s="103"/>
      <c r="K25" s="65"/>
    </row>
    <row r="26" spans="1:11">
      <c r="A26" s="62"/>
      <c r="B26" s="88">
        <v>9</v>
      </c>
      <c r="C26" s="64" t="s">
        <v>381</v>
      </c>
      <c r="D26" s="64"/>
      <c r="E26" s="64"/>
      <c r="F26" s="64"/>
      <c r="G26" s="64"/>
      <c r="H26" s="64"/>
      <c r="I26" s="64"/>
      <c r="J26" s="103"/>
      <c r="K26" s="65"/>
    </row>
    <row r="27" spans="1:11">
      <c r="A27" s="62"/>
      <c r="B27" s="88">
        <v>10</v>
      </c>
      <c r="C27" s="64" t="s">
        <v>382</v>
      </c>
      <c r="D27" s="64"/>
      <c r="E27" s="64"/>
      <c r="F27" s="64"/>
      <c r="G27" s="64"/>
      <c r="H27" s="64"/>
      <c r="I27" s="64"/>
      <c r="J27" s="103"/>
      <c r="K27" s="65"/>
    </row>
    <row r="28" spans="1:11">
      <c r="A28" s="62"/>
      <c r="B28" s="88">
        <v>11</v>
      </c>
      <c r="C28" s="64" t="s">
        <v>383</v>
      </c>
      <c r="D28" s="64"/>
      <c r="E28" s="64"/>
      <c r="F28" s="64"/>
      <c r="G28" s="64"/>
      <c r="H28" s="64"/>
      <c r="I28" s="63"/>
      <c r="J28" s="103"/>
      <c r="K28" s="65"/>
    </row>
    <row r="29" spans="1:11">
      <c r="A29" s="62"/>
      <c r="B29" s="88">
        <v>12</v>
      </c>
      <c r="C29" s="64" t="s">
        <v>384</v>
      </c>
      <c r="D29" s="64"/>
      <c r="E29" s="64"/>
      <c r="F29" s="64"/>
      <c r="G29" s="64"/>
      <c r="H29" s="64"/>
      <c r="I29" s="64"/>
      <c r="J29" s="103"/>
      <c r="K29" s="65"/>
    </row>
    <row r="30" spans="1:11">
      <c r="A30" s="62"/>
      <c r="B30" s="88">
        <v>13</v>
      </c>
      <c r="C30" s="64" t="s">
        <v>385</v>
      </c>
      <c r="D30" s="64"/>
      <c r="E30" s="64"/>
      <c r="F30" s="64"/>
      <c r="G30" s="64"/>
      <c r="H30" s="64"/>
      <c r="I30" s="64"/>
      <c r="J30" s="103"/>
      <c r="K30" s="65"/>
    </row>
    <row r="31" spans="1:11">
      <c r="A31" s="62"/>
      <c r="B31" s="88">
        <v>14</v>
      </c>
      <c r="C31" s="64" t="s">
        <v>386</v>
      </c>
      <c r="D31" s="64"/>
      <c r="E31" s="64"/>
      <c r="F31" s="64"/>
      <c r="G31" s="64"/>
      <c r="H31" s="64"/>
      <c r="I31" s="64"/>
      <c r="J31" s="103"/>
      <c r="K31" s="65"/>
    </row>
    <row r="32" spans="1:11">
      <c r="A32" s="62"/>
      <c r="B32" s="88">
        <v>15</v>
      </c>
      <c r="C32" s="64" t="s">
        <v>387</v>
      </c>
      <c r="D32" s="64"/>
      <c r="E32" s="64"/>
      <c r="F32" s="64"/>
      <c r="G32" s="64"/>
      <c r="H32" s="64"/>
      <c r="I32" s="64"/>
      <c r="J32" s="103"/>
      <c r="K32" s="65"/>
    </row>
    <row r="33" spans="1:11">
      <c r="A33" s="62"/>
      <c r="B33" s="88">
        <v>16</v>
      </c>
      <c r="C33" s="64" t="s">
        <v>388</v>
      </c>
      <c r="D33" s="64"/>
      <c r="E33" s="64"/>
      <c r="F33" s="64"/>
      <c r="G33" s="64"/>
      <c r="H33" s="64"/>
      <c r="I33" s="64"/>
      <c r="J33" s="103"/>
      <c r="K33" s="65"/>
    </row>
    <row r="34" spans="1:11">
      <c r="A34" s="62"/>
      <c r="B34" s="88">
        <v>17</v>
      </c>
      <c r="C34" s="64" t="s">
        <v>389</v>
      </c>
      <c r="D34" s="64"/>
      <c r="E34" s="64"/>
      <c r="F34" s="64"/>
      <c r="G34" s="64"/>
      <c r="H34" s="64"/>
      <c r="I34" s="64"/>
      <c r="J34" s="103"/>
      <c r="K34" s="65"/>
    </row>
    <row r="35" spans="1:11">
      <c r="A35" s="62"/>
      <c r="B35" s="88">
        <v>18</v>
      </c>
      <c r="C35" s="64" t="s">
        <v>390</v>
      </c>
      <c r="D35" s="64"/>
      <c r="E35" s="64"/>
      <c r="F35" s="64"/>
      <c r="G35" s="64"/>
      <c r="H35" s="64"/>
      <c r="I35" s="64"/>
      <c r="J35" s="103"/>
      <c r="K35" s="65"/>
    </row>
    <row r="36" spans="1:11">
      <c r="A36" s="62"/>
      <c r="B36" s="88">
        <v>19</v>
      </c>
      <c r="C36" s="64" t="s">
        <v>391</v>
      </c>
      <c r="D36" s="64"/>
      <c r="E36" s="64"/>
      <c r="F36" s="64"/>
      <c r="G36" s="64"/>
      <c r="H36" s="64"/>
      <c r="I36" s="64"/>
      <c r="J36" s="103"/>
      <c r="K36" s="65"/>
    </row>
    <row r="37" spans="1:11">
      <c r="A37" s="62"/>
      <c r="B37" s="88">
        <v>20</v>
      </c>
      <c r="C37" s="64" t="s">
        <v>392</v>
      </c>
      <c r="D37" s="64"/>
      <c r="E37" s="64"/>
      <c r="F37" s="64"/>
      <c r="G37" s="64"/>
      <c r="H37" s="64"/>
      <c r="I37" s="64"/>
      <c r="J37" s="103"/>
      <c r="K37" s="65"/>
    </row>
    <row r="38" spans="1:11">
      <c r="A38" s="62"/>
      <c r="B38" s="88">
        <v>21</v>
      </c>
      <c r="C38" s="64" t="s">
        <v>393</v>
      </c>
      <c r="D38" s="64"/>
      <c r="E38" s="64"/>
      <c r="F38" s="64"/>
      <c r="G38" s="64"/>
      <c r="H38" s="64"/>
      <c r="I38" s="64"/>
      <c r="J38" s="103"/>
      <c r="K38" s="65"/>
    </row>
    <row r="39" spans="1:11">
      <c r="A39" s="62"/>
      <c r="B39" s="88">
        <v>22</v>
      </c>
      <c r="C39" s="64" t="s">
        <v>394</v>
      </c>
      <c r="D39" s="64"/>
      <c r="E39" s="64"/>
      <c r="F39" s="64"/>
      <c r="G39" s="64"/>
      <c r="H39" s="64"/>
      <c r="I39" s="64"/>
      <c r="J39" s="103"/>
      <c r="K39" s="65"/>
    </row>
    <row r="40" spans="1:11">
      <c r="A40" s="62"/>
      <c r="B40" s="88">
        <v>23</v>
      </c>
      <c r="C40" s="64" t="s">
        <v>395</v>
      </c>
      <c r="D40" s="64"/>
      <c r="E40" s="64"/>
      <c r="F40" s="64"/>
      <c r="G40" s="64"/>
      <c r="H40" s="64"/>
      <c r="I40" s="64"/>
      <c r="J40" s="103"/>
      <c r="K40" s="65"/>
    </row>
    <row r="41" spans="1:11">
      <c r="A41" s="62"/>
      <c r="B41" s="88">
        <v>24</v>
      </c>
      <c r="C41" s="64" t="s">
        <v>396</v>
      </c>
      <c r="D41" s="64"/>
      <c r="E41" s="64"/>
      <c r="F41" s="64"/>
      <c r="G41" s="64"/>
      <c r="H41" s="64"/>
      <c r="I41" s="64"/>
      <c r="J41" s="103"/>
      <c r="K41" s="65"/>
    </row>
    <row r="42" spans="1:11">
      <c r="A42" s="62"/>
      <c r="B42" s="88">
        <v>25</v>
      </c>
      <c r="C42" s="64" t="s">
        <v>397</v>
      </c>
      <c r="D42" s="64"/>
      <c r="E42" s="64"/>
      <c r="F42" s="64"/>
      <c r="G42" s="64"/>
      <c r="H42" s="64"/>
      <c r="I42" s="64"/>
      <c r="J42" s="103"/>
      <c r="K42" s="65"/>
    </row>
    <row r="43" spans="1:11">
      <c r="A43" s="62"/>
      <c r="B43" s="88">
        <v>26</v>
      </c>
      <c r="C43" s="64" t="s">
        <v>398</v>
      </c>
      <c r="D43" s="64"/>
      <c r="E43" s="64"/>
      <c r="F43" s="64"/>
      <c r="G43" s="64"/>
      <c r="H43" s="64"/>
      <c r="I43" s="64"/>
      <c r="J43" s="103"/>
      <c r="K43" s="65"/>
    </row>
    <row r="44" spans="1:11">
      <c r="A44" s="62"/>
      <c r="B44" s="88">
        <v>27</v>
      </c>
      <c r="C44" s="64" t="s">
        <v>399</v>
      </c>
      <c r="D44" s="64"/>
      <c r="E44" s="64"/>
      <c r="F44" s="64"/>
      <c r="G44" s="64"/>
      <c r="H44" s="64"/>
      <c r="I44" s="64"/>
      <c r="J44" s="103"/>
      <c r="K44" s="65"/>
    </row>
    <row r="45" spans="1:11">
      <c r="A45" s="62"/>
      <c r="B45" s="88">
        <v>28</v>
      </c>
      <c r="C45" s="64" t="s">
        <v>400</v>
      </c>
      <c r="D45" s="64"/>
      <c r="E45" s="64"/>
      <c r="F45" s="64"/>
      <c r="G45" s="64"/>
      <c r="H45" s="64"/>
      <c r="I45" s="64"/>
      <c r="J45" s="103"/>
      <c r="K45" s="65"/>
    </row>
    <row r="46" spans="1:11">
      <c r="A46" s="62"/>
      <c r="B46" s="88">
        <v>29</v>
      </c>
      <c r="C46" s="64" t="s">
        <v>401</v>
      </c>
      <c r="D46" s="64"/>
      <c r="E46" s="64"/>
      <c r="F46" s="64"/>
      <c r="G46" s="64"/>
      <c r="H46" s="64"/>
      <c r="I46" s="64"/>
      <c r="J46" s="103"/>
      <c r="K46" s="65"/>
    </row>
    <row r="47" spans="1:11">
      <c r="A47" s="62"/>
      <c r="B47" s="88">
        <v>30</v>
      </c>
      <c r="C47" s="64" t="s">
        <v>402</v>
      </c>
      <c r="D47" s="64"/>
      <c r="E47" s="64"/>
      <c r="F47" s="64"/>
      <c r="G47" s="64"/>
      <c r="H47" s="64"/>
      <c r="I47" s="64"/>
      <c r="J47" s="103"/>
      <c r="K47" s="65"/>
    </row>
    <row r="48" spans="1:11">
      <c r="A48" s="62"/>
      <c r="B48" s="88">
        <v>31</v>
      </c>
      <c r="C48" s="64" t="s">
        <v>403</v>
      </c>
      <c r="D48" s="64"/>
      <c r="E48" s="64"/>
      <c r="F48" s="64"/>
      <c r="G48" s="64"/>
      <c r="H48" s="64"/>
      <c r="I48" s="64"/>
      <c r="J48" s="103"/>
      <c r="K48" s="65"/>
    </row>
    <row r="49" spans="1:11">
      <c r="A49" s="62"/>
      <c r="B49" s="88">
        <v>32</v>
      </c>
      <c r="C49" s="64" t="s">
        <v>404</v>
      </c>
      <c r="D49" s="64"/>
      <c r="E49" s="64"/>
      <c r="F49" s="64"/>
      <c r="G49" s="64"/>
      <c r="H49" s="64"/>
      <c r="I49" s="64"/>
      <c r="J49" s="103"/>
      <c r="K49" s="65"/>
    </row>
    <row r="50" spans="1:11">
      <c r="A50" s="62"/>
      <c r="B50" s="88">
        <v>33</v>
      </c>
      <c r="C50" s="64" t="s">
        <v>405</v>
      </c>
      <c r="D50" s="64"/>
      <c r="E50" s="64"/>
      <c r="F50" s="64"/>
      <c r="G50" s="64"/>
      <c r="H50" s="64"/>
      <c r="I50" s="64"/>
      <c r="J50" s="103"/>
      <c r="K50" s="65"/>
    </row>
    <row r="51" spans="1:11">
      <c r="A51" s="62"/>
      <c r="B51" s="88">
        <v>34</v>
      </c>
      <c r="C51" s="64" t="s">
        <v>406</v>
      </c>
      <c r="D51" s="64"/>
      <c r="E51" s="64"/>
      <c r="F51" s="64"/>
      <c r="G51" s="64"/>
      <c r="H51" s="64"/>
      <c r="I51" s="64"/>
      <c r="J51" s="103"/>
      <c r="K51" s="65"/>
    </row>
    <row r="52" spans="1:11">
      <c r="A52" s="62"/>
      <c r="B52" s="88">
        <v>35</v>
      </c>
      <c r="C52" s="64" t="s">
        <v>407</v>
      </c>
      <c r="D52" s="64"/>
      <c r="E52" s="64"/>
      <c r="F52" s="64"/>
      <c r="G52" s="64"/>
      <c r="H52" s="64"/>
      <c r="I52" s="64"/>
      <c r="J52" s="103"/>
      <c r="K52" s="65"/>
    </row>
    <row r="53" spans="1:11">
      <c r="A53" s="62"/>
      <c r="B53" s="88">
        <v>36</v>
      </c>
      <c r="C53" s="64" t="s">
        <v>408</v>
      </c>
      <c r="D53" s="64"/>
      <c r="E53" s="64"/>
      <c r="F53" s="64"/>
      <c r="G53" s="64"/>
      <c r="H53" s="64"/>
      <c r="I53" s="64"/>
      <c r="J53" s="103"/>
      <c r="K53" s="65"/>
    </row>
    <row r="54" spans="1:11">
      <c r="A54" s="62"/>
      <c r="B54" s="88">
        <v>37</v>
      </c>
      <c r="C54" s="64" t="s">
        <v>409</v>
      </c>
      <c r="D54" s="64"/>
      <c r="E54" s="64"/>
      <c r="F54" s="64"/>
      <c r="G54" s="64"/>
      <c r="H54" s="64"/>
      <c r="I54" s="64"/>
      <c r="J54" s="103"/>
      <c r="K54" s="65"/>
    </row>
    <row r="55" spans="1:11">
      <c r="A55" s="62"/>
      <c r="B55" s="88">
        <v>38</v>
      </c>
      <c r="C55" s="64" t="s">
        <v>410</v>
      </c>
      <c r="D55" s="64"/>
      <c r="E55" s="64"/>
      <c r="F55" s="64"/>
      <c r="G55" s="64"/>
      <c r="H55" s="64"/>
      <c r="I55" s="64"/>
      <c r="J55" s="103"/>
      <c r="K55" s="65"/>
    </row>
    <row r="56" spans="1:11">
      <c r="A56" s="62"/>
      <c r="B56" s="88">
        <v>39</v>
      </c>
      <c r="C56" s="64" t="s">
        <v>411</v>
      </c>
      <c r="D56" s="64"/>
      <c r="E56" s="64"/>
      <c r="F56" s="64"/>
      <c r="G56" s="64"/>
      <c r="H56" s="64"/>
      <c r="I56" s="64"/>
      <c r="J56" s="103"/>
      <c r="K56" s="65"/>
    </row>
    <row r="57" spans="1:11">
      <c r="A57" s="62"/>
      <c r="B57" s="88">
        <v>40</v>
      </c>
      <c r="C57" s="64" t="s">
        <v>412</v>
      </c>
      <c r="D57" s="64"/>
      <c r="E57" s="64"/>
      <c r="F57" s="64"/>
      <c r="G57" s="64"/>
      <c r="H57" s="64"/>
      <c r="I57" s="64"/>
      <c r="J57" s="103"/>
      <c r="K57" s="65"/>
    </row>
    <row r="58" spans="1:11">
      <c r="A58" s="62"/>
      <c r="B58" s="88">
        <v>41</v>
      </c>
      <c r="C58" s="64" t="s">
        <v>413</v>
      </c>
      <c r="D58" s="64"/>
      <c r="E58" s="64"/>
      <c r="F58" s="64"/>
      <c r="G58" s="64"/>
      <c r="H58" s="64"/>
      <c r="I58" s="64"/>
      <c r="J58" s="103"/>
      <c r="K58" s="65"/>
    </row>
    <row r="59" spans="1:11">
      <c r="A59" s="62"/>
      <c r="B59" s="88">
        <v>42</v>
      </c>
      <c r="C59" s="64" t="s">
        <v>414</v>
      </c>
      <c r="D59" s="64"/>
      <c r="E59" s="64"/>
      <c r="F59" s="64"/>
      <c r="G59" s="64"/>
      <c r="H59" s="64"/>
      <c r="I59" s="64"/>
      <c r="J59" s="103"/>
      <c r="K59" s="65"/>
    </row>
    <row r="60" spans="1:11">
      <c r="A60" s="62"/>
      <c r="B60" s="88">
        <v>43</v>
      </c>
      <c r="C60" s="64" t="s">
        <v>415</v>
      </c>
      <c r="D60" s="64"/>
      <c r="E60" s="64"/>
      <c r="F60" s="64"/>
      <c r="G60" s="64"/>
      <c r="H60" s="64"/>
      <c r="I60" s="64"/>
      <c r="J60" s="103"/>
      <c r="K60" s="65"/>
    </row>
    <row r="61" spans="1:11">
      <c r="A61" s="62"/>
      <c r="B61" s="88">
        <v>44</v>
      </c>
      <c r="C61" s="64" t="s">
        <v>416</v>
      </c>
      <c r="D61" s="64"/>
      <c r="E61" s="64"/>
      <c r="F61" s="64"/>
      <c r="G61" s="64"/>
      <c r="H61" s="64"/>
      <c r="I61" s="64"/>
      <c r="J61" s="103"/>
      <c r="K61" s="65"/>
    </row>
    <row r="62" spans="1:11">
      <c r="A62" s="62"/>
      <c r="B62" s="88">
        <v>45</v>
      </c>
      <c r="C62" s="64" t="s">
        <v>417</v>
      </c>
      <c r="D62" s="64"/>
      <c r="E62" s="64"/>
      <c r="F62" s="64"/>
      <c r="G62" s="64"/>
      <c r="H62" s="64"/>
      <c r="I62" s="64"/>
      <c r="J62" s="103"/>
      <c r="K62" s="65"/>
    </row>
    <row r="63" spans="1:11">
      <c r="A63" s="62"/>
      <c r="B63" s="88">
        <v>46</v>
      </c>
      <c r="C63" s="64" t="s">
        <v>418</v>
      </c>
      <c r="D63" s="64"/>
      <c r="E63" s="64"/>
      <c r="F63" s="64"/>
      <c r="G63" s="64"/>
      <c r="H63" s="64"/>
      <c r="I63" s="64"/>
      <c r="J63" s="103"/>
      <c r="K63" s="65"/>
    </row>
    <row r="64" spans="1:11">
      <c r="A64" s="62"/>
      <c r="B64" s="88">
        <v>47</v>
      </c>
      <c r="C64" s="64" t="s">
        <v>419</v>
      </c>
      <c r="D64" s="64"/>
      <c r="E64" s="64"/>
      <c r="F64" s="64"/>
      <c r="G64" s="64"/>
      <c r="H64" s="64"/>
      <c r="I64" s="64"/>
      <c r="J64" s="103"/>
      <c r="K64" s="65"/>
    </row>
    <row r="65" spans="1:11">
      <c r="A65" s="62"/>
      <c r="B65" s="100">
        <v>48</v>
      </c>
      <c r="C65" s="64" t="s">
        <v>420</v>
      </c>
      <c r="D65" s="64"/>
      <c r="E65" s="64"/>
      <c r="F65" s="64"/>
      <c r="G65" s="64"/>
      <c r="H65" s="64"/>
      <c r="I65" s="64"/>
      <c r="J65" s="103"/>
      <c r="K65" s="65"/>
    </row>
    <row r="66" spans="1:11">
      <c r="A66" s="62"/>
      <c r="B66" s="100">
        <v>49</v>
      </c>
      <c r="C66" s="64" t="s">
        <v>421</v>
      </c>
      <c r="D66" s="64"/>
      <c r="E66" s="64"/>
      <c r="F66" s="64"/>
      <c r="G66" s="64"/>
      <c r="H66" s="64"/>
      <c r="I66" s="64"/>
      <c r="J66" s="103"/>
      <c r="K66" s="65"/>
    </row>
    <row r="67" spans="1:11">
      <c r="A67" s="62"/>
      <c r="B67" s="100">
        <v>50</v>
      </c>
      <c r="C67" s="64" t="s">
        <v>422</v>
      </c>
      <c r="D67" s="64"/>
      <c r="E67" s="64"/>
      <c r="F67" s="64"/>
      <c r="G67" s="64"/>
      <c r="H67" s="64"/>
      <c r="I67" s="64"/>
      <c r="J67" s="103"/>
      <c r="K67" s="65"/>
    </row>
    <row r="68" spans="1:11">
      <c r="A68" s="43"/>
      <c r="B68" s="66" t="s">
        <v>237</v>
      </c>
      <c r="C68" s="67"/>
      <c r="D68" s="67"/>
      <c r="E68" s="67"/>
      <c r="F68" s="67"/>
      <c r="G68" s="67"/>
      <c r="H68" s="67"/>
      <c r="I68" s="67"/>
      <c r="J68" s="104"/>
      <c r="K68" s="69"/>
    </row>
  </sheetData>
  <sheetProtection algorithmName="SHA-512" hashValue="HYG7vTzTkz+tE6eVjIFJuhLorF76H4UNlyLVQkZ83oq47G3sHb917njWf50EtOnEJhLZtvk+nBAwlQasPosZmg==" saltValue="h/OP5qK97ORutFEM2uC2Bg==" spinCount="100000" sheet="1" objects="1" scenarios="1" selectLockedCells="1" selectUnlockedCells="1"/>
  <mergeCells count="11">
    <mergeCell ref="B14:B17"/>
    <mergeCell ref="C14:C17"/>
    <mergeCell ref="D14:D17"/>
    <mergeCell ref="E14:E17"/>
    <mergeCell ref="F14:F17"/>
    <mergeCell ref="H14:H17"/>
    <mergeCell ref="I14:I17"/>
    <mergeCell ref="J14:J17"/>
    <mergeCell ref="K14:K17"/>
    <mergeCell ref="E19:E20"/>
    <mergeCell ref="G14:G17"/>
  </mergeCells>
  <phoneticPr fontId="1" type="noConversion"/>
  <conditionalFormatting sqref="B18:B22 I18:K22 B23:K67">
    <cfRule type="expression" dxfId="6" priority="7">
      <formula>NOT(ISBLANK($D$18:$D$67))</formula>
    </cfRule>
  </conditionalFormatting>
  <conditionalFormatting sqref="C18:E19 F18:H20 C20:D20 C21:H22">
    <cfRule type="cellIs" dxfId="5" priority="1" operator="equal">
      <formula>#REF!</formula>
    </cfRule>
    <cfRule type="expression" dxfId="4" priority="2">
      <formula>NOT(ISBLANK($D$18:$D$67))</formula>
    </cfRule>
  </conditionalFormatting>
  <conditionalFormatting sqref="I18:I22 B23:I68 B18:B22">
    <cfRule type="cellIs" dxfId="3" priority="6" operator="equal">
      <formula>#REF!</formula>
    </cfRule>
  </conditionalFormatting>
  <conditionalFormatting sqref="I18:I67">
    <cfRule type="cellIs" dxfId="2" priority="3" operator="equal">
      <formula>"구현"</formula>
    </cfRule>
    <cfRule type="cellIs" dxfId="1" priority="4" operator="equal">
      <formula>"예정"</formula>
    </cfRule>
    <cfRule type="cellIs" dxfId="0" priority="5" operator="equal">
      <formula>"보류"</formula>
    </cfRule>
  </conditionalFormatting>
  <dataValidations count="1">
    <dataValidation type="list" allowBlank="1" showErrorMessage="1" errorTitle="입력 오류" error="목록(구현/예정/보류) 중에서 선택하세요." sqref="I18:I67" xr:uid="{74777765-4D25-4569-9871-3F6AD8C4BA5A}">
      <formula1>"구현,예정,보류"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Overview</vt:lpstr>
      <vt:lpstr>History</vt:lpstr>
      <vt:lpstr>릴리즈</vt:lpstr>
      <vt:lpstr>Regression_TC</vt:lpstr>
      <vt:lpstr>E2E_TEST</vt:lpstr>
      <vt:lpstr>E2E_API_TEST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경배 고</dc:creator>
  <cp:lastModifiedBy>김성연</cp:lastModifiedBy>
  <cp:lastPrinted>2026-07-15T09:00:17Z</cp:lastPrinted>
  <dcterms:created xsi:type="dcterms:W3CDTF">2026-03-01T18:21:31Z</dcterms:created>
  <dcterms:modified xsi:type="dcterms:W3CDTF">2026-07-15T09:03:13Z</dcterms:modified>
</cp:coreProperties>
</file>